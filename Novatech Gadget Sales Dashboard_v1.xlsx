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slicers/slicer3.xml" ContentType="application/vnd.ms-excel.slicer+xml"/>
  <Override PartName="/xl/charts/chart12.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slicers/slicer4.xml" ContentType="application/vnd.ms-excel.slicer+xml"/>
  <Override PartName="/xl/charts/chart13.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4.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2"/>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8_{89AE5B34-E0A3-4E34-872E-2A150B66EC6E}" xr6:coauthVersionLast="47" xr6:coauthVersionMax="47" xr10:uidLastSave="{00000000-0000-0000-0000-000000000000}"/>
  <bookViews>
    <workbookView xWindow="-110" yWindow="-110" windowWidth="19420" windowHeight="10540" xr2:uid="{8ABF814E-41F0-49B7-AE2A-AC90B67FD773}"/>
  </bookViews>
  <sheets>
    <sheet name="DASHBOARD" sheetId="19" r:id="rId1"/>
    <sheet name="SUMMARY" sheetId="6" r:id="rId2"/>
    <sheet name="JAN 2020" sheetId="1" r:id="rId3"/>
    <sheet name="FEB 2020" sheetId="4" r:id="rId4"/>
    <sheet name="MAR 2020" sheetId="5" r:id="rId5"/>
    <sheet name="APR 2020" sheetId="25" r:id="rId6"/>
    <sheet name="MAY 2020" sheetId="27" r:id="rId7"/>
    <sheet name="JUNE 2020" sheetId="28" r:id="rId8"/>
    <sheet name="JULY 2020" sheetId="29" r:id="rId9"/>
    <sheet name="AUG 2020" sheetId="30" r:id="rId10"/>
    <sheet name="SEPT 2020" sheetId="31" r:id="rId11"/>
    <sheet name="OCT 2020" sheetId="32" r:id="rId12"/>
    <sheet name="NOV 2020" sheetId="33" r:id="rId13"/>
    <sheet name="TEMPLATE 2020" sheetId="34" r:id="rId14"/>
    <sheet name="Submitted vs Paid" sheetId="17" r:id="rId15"/>
    <sheet name="Invoice Value by Client" sheetId="26" r:id="rId16"/>
    <sheet name="Total Cash Received by Month" sheetId="7" r:id="rId17"/>
    <sheet name="Total Cash Recieved by Qtr" sheetId="13" r:id="rId18"/>
    <sheet name="Cash Received vs Outstanding by" sheetId="8" r:id="rId19"/>
    <sheet name="Cash Recieved vs Oustanding By " sheetId="14" r:id="rId20"/>
    <sheet name="Cash Recieved vs Outst. By Clie" sheetId="9" r:id="rId21"/>
    <sheet name="Number of Units by Client" sheetId="10" r:id="rId22"/>
  </sheets>
  <definedNames>
    <definedName name="_xlnm.Print_Area" localSheetId="0">DASHBOARD!$BA$79</definedName>
    <definedName name="Slicer_CLIENT">#N/A</definedName>
    <definedName name="Slicer_Month">#N/A</definedName>
    <definedName name="Slicer_QTR">#N/A</definedName>
    <definedName name="totalClaims">'Number of Units by Client'!$B$16</definedName>
    <definedName name="UnitsSolds">SUMMARY!$O$2</definedName>
  </definedNames>
  <calcPr calcId="191028"/>
  <pivotCaches>
    <pivotCache cacheId="455" r:id="rId23"/>
  </pivotCaches>
  <extLst>
    <ext xmlns:x14="http://schemas.microsoft.com/office/spreadsheetml/2009/9/main" uri="{BBE1A952-AA13-448e-AADC-164F8A28A991}">
      <x14:slicerCaches>
        <x14:slicerCache r:id="rId24"/>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6" l="1" a="1"/>
  <c r="A2" i="6" s="1"/>
  <c r="C2" i="34"/>
  <c r="C3" i="34"/>
  <c r="C4" i="34"/>
  <c r="C5" i="34"/>
  <c r="C6" i="34"/>
  <c r="C7" i="34"/>
  <c r="C8" i="34"/>
  <c r="C9" i="34"/>
  <c r="C10" i="34"/>
  <c r="C11" i="34"/>
  <c r="C12" i="34"/>
  <c r="C13" i="34"/>
  <c r="F14" i="33"/>
  <c r="G14" i="33"/>
  <c r="H14" i="33"/>
  <c r="C3" i="33"/>
  <c r="C4" i="33"/>
  <c r="C5" i="33"/>
  <c r="C6" i="33"/>
  <c r="C7" i="33"/>
  <c r="C8" i="33"/>
  <c r="C9" i="33"/>
  <c r="C10" i="33"/>
  <c r="C11" i="33"/>
  <c r="C12" i="33"/>
  <c r="C13" i="33"/>
  <c r="C2" i="33"/>
  <c r="D2" i="33"/>
  <c r="C2" i="32"/>
  <c r="C3" i="32"/>
  <c r="C4" i="32"/>
  <c r="C5" i="32"/>
  <c r="C6" i="32"/>
  <c r="C7" i="32"/>
  <c r="C8" i="32"/>
  <c r="C9" i="32"/>
  <c r="C10" i="32"/>
  <c r="C11" i="32"/>
  <c r="C12" i="32"/>
  <c r="C2" i="31"/>
  <c r="C3" i="31"/>
  <c r="C4" i="31"/>
  <c r="C5" i="31"/>
  <c r="C6" i="31"/>
  <c r="C7" i="31"/>
  <c r="C8" i="31"/>
  <c r="C9" i="31"/>
  <c r="C10" i="31"/>
  <c r="C11" i="31"/>
  <c r="C12" i="31"/>
  <c r="C2" i="27"/>
  <c r="C3" i="27"/>
  <c r="C4" i="27"/>
  <c r="C5" i="27"/>
  <c r="C6" i="27"/>
  <c r="C7" i="27"/>
  <c r="C8" i="27"/>
  <c r="C9" i="27"/>
  <c r="C10" i="27"/>
  <c r="C11" i="27"/>
  <c r="C12" i="27"/>
  <c r="C2" i="28"/>
  <c r="C3" i="28"/>
  <c r="C4" i="28"/>
  <c r="C5" i="28"/>
  <c r="C6" i="28"/>
  <c r="C7" i="28"/>
  <c r="C8" i="28"/>
  <c r="C9" i="28"/>
  <c r="C10" i="28"/>
  <c r="C11" i="28"/>
  <c r="C12" i="28"/>
  <c r="D12" i="4"/>
  <c r="D11" i="4"/>
  <c r="D10" i="4"/>
  <c r="D9" i="4"/>
  <c r="D8" i="4"/>
  <c r="D7" i="4"/>
  <c r="D6" i="4"/>
  <c r="D5" i="4"/>
  <c r="D4" i="4"/>
  <c r="D3" i="4"/>
  <c r="D2" i="4"/>
  <c r="D2" i="1"/>
  <c r="D3" i="1"/>
  <c r="D4" i="1"/>
  <c r="D5" i="1"/>
  <c r="D6" i="1"/>
  <c r="D7" i="1"/>
  <c r="D8" i="1"/>
  <c r="D9" i="1"/>
  <c r="D10" i="1"/>
  <c r="D11" i="1"/>
  <c r="D12" i="1"/>
  <c r="C12" i="1"/>
  <c r="C11" i="1"/>
  <c r="C10" i="1"/>
  <c r="C9" i="1"/>
  <c r="C8" i="1"/>
  <c r="C7" i="1"/>
  <c r="C6" i="1"/>
  <c r="C5" i="1"/>
  <c r="C4" i="1"/>
  <c r="C3" i="1"/>
  <c r="C2" i="1"/>
  <c r="C12" i="4"/>
  <c r="C11" i="4"/>
  <c r="C10" i="4"/>
  <c r="C9" i="4"/>
  <c r="C8" i="4"/>
  <c r="C7" i="4"/>
  <c r="C6" i="4"/>
  <c r="C5" i="4"/>
  <c r="C4" i="4"/>
  <c r="C3" i="4"/>
  <c r="C2" i="4"/>
  <c r="A8" i="17"/>
  <c r="A7" i="17"/>
  <c r="J2" i="6" a="1"/>
  <c r="J2" i="6" s="1"/>
  <c r="H2" i="6" a="1"/>
  <c r="H2" i="6" s="1"/>
  <c r="G2" i="6" a="1"/>
  <c r="G2" i="6" s="1"/>
  <c r="F2" i="6" a="1"/>
  <c r="F2" i="6" s="1"/>
  <c r="O2" i="6" s="1"/>
  <c r="E2" i="6" a="1"/>
  <c r="E2" i="6" s="1"/>
  <c r="B2" i="6" a="1"/>
  <c r="B2" i="6" s="1"/>
  <c r="H14" i="34"/>
  <c r="G14" i="34"/>
  <c r="F14" i="34"/>
  <c r="I13" i="34"/>
  <c r="D13" i="34"/>
  <c r="I12" i="34"/>
  <c r="D12" i="34"/>
  <c r="I11" i="34"/>
  <c r="D11" i="34"/>
  <c r="I10" i="34"/>
  <c r="D10" i="34"/>
  <c r="I9" i="34"/>
  <c r="D9" i="34"/>
  <c r="I8" i="34"/>
  <c r="D8" i="34"/>
  <c r="I7" i="34"/>
  <c r="D7" i="34"/>
  <c r="I6" i="34"/>
  <c r="D6" i="34"/>
  <c r="I5" i="34"/>
  <c r="D5" i="34"/>
  <c r="I4" i="34"/>
  <c r="D4" i="34"/>
  <c r="I3" i="34"/>
  <c r="D3" i="34"/>
  <c r="I2" i="34"/>
  <c r="I14" i="34" s="1"/>
  <c r="D2" i="34"/>
  <c r="I13" i="33"/>
  <c r="I9" i="31"/>
  <c r="D13" i="33"/>
  <c r="I12" i="33"/>
  <c r="D12" i="33"/>
  <c r="I11" i="33"/>
  <c r="D11" i="33"/>
  <c r="I10" i="33"/>
  <c r="D10" i="33"/>
  <c r="I9" i="33"/>
  <c r="D9" i="33"/>
  <c r="I8" i="33"/>
  <c r="D8" i="33"/>
  <c r="I7" i="33"/>
  <c r="D7" i="33"/>
  <c r="I6" i="33"/>
  <c r="D6" i="33"/>
  <c r="I5" i="33"/>
  <c r="D5" i="33"/>
  <c r="I4" i="33"/>
  <c r="D4" i="33"/>
  <c r="I3" i="33"/>
  <c r="D3" i="33"/>
  <c r="I2" i="33"/>
  <c r="F13" i="32"/>
  <c r="H13" i="32"/>
  <c r="G13" i="32"/>
  <c r="I12" i="32"/>
  <c r="D12" i="32"/>
  <c r="I11" i="32"/>
  <c r="D11" i="32"/>
  <c r="I10" i="32"/>
  <c r="D10" i="32"/>
  <c r="I9" i="32"/>
  <c r="D9" i="32"/>
  <c r="I8" i="32"/>
  <c r="D8" i="32"/>
  <c r="I7" i="32"/>
  <c r="D7" i="32"/>
  <c r="I6" i="32"/>
  <c r="D6" i="32"/>
  <c r="I5" i="32"/>
  <c r="D5" i="32"/>
  <c r="I4" i="32"/>
  <c r="D4" i="32"/>
  <c r="I3" i="32"/>
  <c r="D3" i="32"/>
  <c r="I2" i="32"/>
  <c r="I13" i="32" s="1"/>
  <c r="D2" i="32"/>
  <c r="I12" i="30"/>
  <c r="C2" i="5"/>
  <c r="D2" i="5"/>
  <c r="I2" i="5"/>
  <c r="C3" i="5"/>
  <c r="D3" i="5"/>
  <c r="I3" i="5"/>
  <c r="C4" i="5"/>
  <c r="D4" i="5"/>
  <c r="I4" i="5"/>
  <c r="C5" i="5"/>
  <c r="D5" i="5"/>
  <c r="I5" i="5"/>
  <c r="C6" i="5"/>
  <c r="D6" i="5"/>
  <c r="I6" i="5"/>
  <c r="C7" i="5"/>
  <c r="D7" i="5"/>
  <c r="I7" i="5"/>
  <c r="C8" i="5"/>
  <c r="D8" i="5"/>
  <c r="I8" i="5"/>
  <c r="C9" i="5"/>
  <c r="D9" i="5"/>
  <c r="I9" i="5"/>
  <c r="C10" i="5"/>
  <c r="D10" i="5"/>
  <c r="I10" i="5"/>
  <c r="C11" i="5"/>
  <c r="D11" i="5"/>
  <c r="I11" i="5"/>
  <c r="C12" i="5"/>
  <c r="D12" i="5"/>
  <c r="I12" i="5"/>
  <c r="I7" i="30"/>
  <c r="I2" i="30"/>
  <c r="I2" i="31"/>
  <c r="I7" i="4"/>
  <c r="I2" i="25"/>
  <c r="I7" i="25"/>
  <c r="I6" i="25"/>
  <c r="I4" i="25"/>
  <c r="I5" i="25"/>
  <c r="I8" i="25"/>
  <c r="I9" i="25"/>
  <c r="I10" i="25"/>
  <c r="I11" i="25"/>
  <c r="I12" i="25"/>
  <c r="I12" i="31"/>
  <c r="H13" i="31"/>
  <c r="G13" i="31"/>
  <c r="F13" i="31"/>
  <c r="D12" i="31"/>
  <c r="D11" i="31"/>
  <c r="I10" i="31"/>
  <c r="D10" i="31"/>
  <c r="D9" i="31"/>
  <c r="I8" i="31"/>
  <c r="D8" i="31"/>
  <c r="I7" i="31"/>
  <c r="D7" i="31"/>
  <c r="I6" i="31"/>
  <c r="D6" i="31"/>
  <c r="I5" i="31"/>
  <c r="D5" i="31"/>
  <c r="I4" i="31"/>
  <c r="D4" i="31"/>
  <c r="D3" i="31"/>
  <c r="D2" i="31"/>
  <c r="C3" i="25"/>
  <c r="C4" i="25"/>
  <c r="D3" i="25"/>
  <c r="I3" i="25"/>
  <c r="I5" i="28"/>
  <c r="I5" i="27"/>
  <c r="H13" i="30"/>
  <c r="G13" i="30"/>
  <c r="F13" i="30"/>
  <c r="D12" i="30"/>
  <c r="C12" i="30"/>
  <c r="I11" i="30"/>
  <c r="D11" i="30"/>
  <c r="C11" i="30"/>
  <c r="I10" i="30"/>
  <c r="D10" i="30"/>
  <c r="C10" i="30"/>
  <c r="I9" i="30"/>
  <c r="D9" i="30"/>
  <c r="C9" i="30"/>
  <c r="I8" i="30"/>
  <c r="D8" i="30"/>
  <c r="C8" i="30"/>
  <c r="D7" i="30"/>
  <c r="C7" i="30"/>
  <c r="I6" i="30"/>
  <c r="D6" i="30"/>
  <c r="C6" i="30"/>
  <c r="I5" i="30"/>
  <c r="D5" i="30"/>
  <c r="C5" i="30"/>
  <c r="I4" i="30"/>
  <c r="D4" i="30"/>
  <c r="C4" i="30"/>
  <c r="I3" i="30"/>
  <c r="D3" i="30"/>
  <c r="C3" i="30"/>
  <c r="D2" i="30"/>
  <c r="C2" i="30"/>
  <c r="G13" i="29"/>
  <c r="F13" i="29"/>
  <c r="I12" i="29"/>
  <c r="D12" i="29"/>
  <c r="C12" i="29"/>
  <c r="I11" i="29"/>
  <c r="D11" i="29"/>
  <c r="C11" i="29"/>
  <c r="I10" i="29"/>
  <c r="D10" i="29"/>
  <c r="C10" i="29"/>
  <c r="I9" i="29"/>
  <c r="D9" i="29"/>
  <c r="C9" i="29"/>
  <c r="D8" i="29"/>
  <c r="C8" i="29"/>
  <c r="I7" i="29"/>
  <c r="D7" i="29"/>
  <c r="C7" i="29"/>
  <c r="I6" i="29"/>
  <c r="D6" i="29"/>
  <c r="C6" i="29"/>
  <c r="D5" i="29"/>
  <c r="C5" i="29"/>
  <c r="I4" i="29"/>
  <c r="D4" i="29"/>
  <c r="C4" i="29"/>
  <c r="I3" i="29"/>
  <c r="D3" i="29"/>
  <c r="C3" i="29"/>
  <c r="I2" i="29"/>
  <c r="D2" i="29"/>
  <c r="C2" i="29"/>
  <c r="G13" i="28"/>
  <c r="I12" i="28"/>
  <c r="D12" i="28"/>
  <c r="D11" i="28"/>
  <c r="I10" i="28"/>
  <c r="D10" i="28"/>
  <c r="I9" i="28"/>
  <c r="D9" i="28"/>
  <c r="D8" i="28"/>
  <c r="I7" i="28"/>
  <c r="D7" i="28"/>
  <c r="I6" i="28"/>
  <c r="D6" i="28"/>
  <c r="D5" i="28"/>
  <c r="I4" i="28"/>
  <c r="D4" i="28"/>
  <c r="I3" i="28"/>
  <c r="D3" i="28"/>
  <c r="I2" i="28"/>
  <c r="D2" i="28"/>
  <c r="D2" i="27"/>
  <c r="D3" i="27"/>
  <c r="D4" i="27"/>
  <c r="D5" i="27"/>
  <c r="D6" i="27"/>
  <c r="D7" i="27"/>
  <c r="D8" i="27"/>
  <c r="D9" i="27"/>
  <c r="D10" i="27"/>
  <c r="D11" i="27"/>
  <c r="D12" i="27"/>
  <c r="H13" i="27"/>
  <c r="F13" i="27"/>
  <c r="I12" i="27"/>
  <c r="I11" i="27"/>
  <c r="I10" i="27"/>
  <c r="I9" i="27"/>
  <c r="I7" i="27"/>
  <c r="I6" i="27"/>
  <c r="I4" i="27"/>
  <c r="I3" i="27"/>
  <c r="I2" i="27"/>
  <c r="I2" i="4"/>
  <c r="I3" i="4"/>
  <c r="H13" i="25"/>
  <c r="G13" i="25"/>
  <c r="F13" i="25"/>
  <c r="D12" i="25"/>
  <c r="C12" i="25"/>
  <c r="D11" i="25"/>
  <c r="C11" i="25"/>
  <c r="D10" i="25"/>
  <c r="C10" i="25"/>
  <c r="D9" i="25"/>
  <c r="C9" i="25"/>
  <c r="D8" i="25"/>
  <c r="C8" i="25"/>
  <c r="D7" i="25"/>
  <c r="C7" i="25"/>
  <c r="D6" i="25"/>
  <c r="C6" i="25"/>
  <c r="D5" i="25"/>
  <c r="C5" i="25"/>
  <c r="D4" i="25"/>
  <c r="D2" i="25"/>
  <c r="C2" i="25"/>
  <c r="I12" i="1"/>
  <c r="I4" i="4"/>
  <c r="I5" i="4"/>
  <c r="I6" i="4"/>
  <c r="I8" i="4"/>
  <c r="I9" i="4"/>
  <c r="I10" i="4"/>
  <c r="I11" i="4"/>
  <c r="I12" i="4"/>
  <c r="F13" i="4"/>
  <c r="G13" i="4"/>
  <c r="H13" i="4"/>
  <c r="G13" i="5"/>
  <c r="F13" i="5"/>
  <c r="G13" i="1"/>
  <c r="F13" i="1"/>
  <c r="I11" i="1"/>
  <c r="I10" i="1"/>
  <c r="I9" i="1"/>
  <c r="I6" i="1"/>
  <c r="I5" i="1"/>
  <c r="I4" i="1"/>
  <c r="I3" i="1"/>
  <c r="B7" i="17"/>
  <c r="B8" i="17"/>
  <c r="C2" i="6" l="1" a="1"/>
  <c r="C2" i="6" s="1"/>
  <c r="I14" i="33"/>
  <c r="D2" i="6" a="1"/>
  <c r="D2" i="6" s="1"/>
  <c r="I13" i="31"/>
  <c r="I13" i="30"/>
  <c r="G13" i="27"/>
  <c r="I13" i="27"/>
  <c r="I13" i="25"/>
  <c r="I13" i="4"/>
  <c r="I13" i="5"/>
  <c r="H13" i="28" l="1"/>
  <c r="I13" i="28"/>
  <c r="H13" i="29"/>
  <c r="I5" i="29"/>
  <c r="I13" i="29" l="1"/>
  <c r="H13" i="1"/>
  <c r="I2" i="1"/>
  <c r="I2" i="6" s="1" a="1"/>
  <c r="I2" i="6" s="1"/>
  <c r="I13"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<sst xmlns="http://schemas.openxmlformats.org/spreadsheetml/2006/main" count="479" uniqueCount="52">
  <si>
    <t>S/N</t>
  </si>
  <si>
    <t>Invoice Date</t>
  </si>
  <si>
    <t>QTR</t>
  </si>
  <si>
    <t>Month</t>
  </si>
  <si>
    <t>CLIENT</t>
  </si>
  <si>
    <t>Units Sold</t>
  </si>
  <si>
    <t>Invoice Value(₦)</t>
  </si>
  <si>
    <t>Cash Received (₦)</t>
  </si>
  <si>
    <t>Outstanding Balance (₦)</t>
  </si>
  <si>
    <t>Payment Status</t>
  </si>
  <si>
    <t>COMMENT</t>
  </si>
  <si>
    <t>BluePeak Gadgets Ltd</t>
  </si>
  <si>
    <t>PAID</t>
  </si>
  <si>
    <t>SignalPro Devices</t>
  </si>
  <si>
    <t>UrbanWave Mobiles</t>
  </si>
  <si>
    <t>CoreLink Technologies</t>
  </si>
  <si>
    <t>FlashPoint Accessories</t>
  </si>
  <si>
    <t>PART PAYMENT</t>
  </si>
  <si>
    <t>NovaStreet Phones</t>
  </si>
  <si>
    <t>NO ORDER</t>
  </si>
  <si>
    <t>BrightCell Retailers</t>
  </si>
  <si>
    <t>IronGate Gadgets</t>
  </si>
  <si>
    <t>PulseHub Electronics</t>
  </si>
  <si>
    <t>Skyline Mobile Mart</t>
  </si>
  <si>
    <t>Vertex Phone Stores</t>
  </si>
  <si>
    <t>TOTAL</t>
  </si>
  <si>
    <t>NOT PAID</t>
  </si>
  <si>
    <t>some claims will be submitted in march</t>
  </si>
  <si>
    <t>luePeak Gadgets Ltd</t>
  </si>
  <si>
    <t>Chike &amp; Sons Accessories</t>
  </si>
  <si>
    <t>Sum of Outstanding Balance (₦)</t>
  </si>
  <si>
    <t>Sum of Cash Received (₦)</t>
  </si>
  <si>
    <t>Row Labels</t>
  </si>
  <si>
    <t>Sum of Invoice Value(₦)</t>
  </si>
  <si>
    <t>Grand Total</t>
  </si>
  <si>
    <t>Jan</t>
  </si>
  <si>
    <t>Feb</t>
  </si>
  <si>
    <t>Mar</t>
  </si>
  <si>
    <t>Apr</t>
  </si>
  <si>
    <t>May</t>
  </si>
  <si>
    <t>Jun</t>
  </si>
  <si>
    <t>Jul</t>
  </si>
  <si>
    <t>Aug</t>
  </si>
  <si>
    <t>Sep</t>
  </si>
  <si>
    <t>Oct</t>
  </si>
  <si>
    <t>Nov</t>
  </si>
  <si>
    <t>Q1</t>
  </si>
  <si>
    <t>Q2</t>
  </si>
  <si>
    <t>Q3</t>
  </si>
  <si>
    <t>Q4</t>
  </si>
  <si>
    <t>Sum of % PAID</t>
  </si>
  <si>
    <t>Sum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</si>
</sst>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_(* \(#,##0.00\);_(* &quot;-&quot;??_);_(@_)"/>
    <numFmt numFmtId="164" formatCode="_-[$₦-46A]* #,##0.00_-;\-[$₦-46A]* #,##0.00_-;_-[$₦-46A]* &quot;-&quot;??_-;_-@_-"/>
    <numFmt numFmtId="165" formatCode="_-[$₦-466]\ * #,##0.00_-;\-[$₦-466]\ * #,##0.00_-;_-[$₦-466]\ * &quot;-&quot;??_-;_-@_-"/>
    <numFmt numFmtId="166" formatCode="[$-409]d\-mmm\-yy;@"/>
  </numFmts>
  <fonts count="12">
    <font>
      <sz val="11"/>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sz val="11"/>
      <name val="Calibri"/>
      <family val="2"/>
      <scheme val="minor"/>
    </font>
    <font>
      <sz val="11"/>
      <color rgb="FF000000"/>
      <name val="Calibri"/>
      <family val="2"/>
      <scheme val="minor"/>
    </font>
    <font>
      <b/>
      <sz val="14"/>
      <color theme="0"/>
      <name val="Calibri"/>
      <family val="2"/>
      <scheme val="minor"/>
    </font>
    <font>
      <sz val="8"/>
      <name val="Calibri"/>
      <family val="2"/>
      <scheme val="minor"/>
    </font>
    <font>
      <b/>
      <sz val="18"/>
      <color theme="1"/>
      <name val="Calibri"/>
      <family val="2"/>
      <scheme val="minor"/>
    </font>
    <font>
      <b/>
      <sz val="11"/>
      <color rgb="FFFFFFFF"/>
      <name val="Calibri"/>
      <family val="2"/>
    </font>
    <font>
      <sz val="11"/>
      <color rgb="FF000000"/>
      <name val="Calibri"/>
      <family val="2"/>
    </font>
    <font>
      <b/>
      <sz val="11"/>
      <color rgb="FF000000"/>
      <name val="Calibri"/>
      <family val="2"/>
      <scheme val="minor"/>
    </font>
  </fonts>
  <fills count="10">
    <fill>
      <patternFill patternType="none"/>
    </fill>
    <fill>
      <patternFill patternType="gray125"/>
    </fill>
    <fill>
      <patternFill patternType="solid">
        <fgColor rgb="FF4B71D6"/>
        <bgColor indexed="64"/>
      </patternFill>
    </fill>
    <fill>
      <patternFill patternType="solid">
        <fgColor theme="3" tint="0.89999084444715716"/>
        <bgColor indexed="64"/>
      </patternFill>
    </fill>
    <fill>
      <patternFill patternType="solid">
        <fgColor theme="0"/>
        <bgColor indexed="64"/>
      </patternFill>
    </fill>
    <fill>
      <patternFill patternType="solid">
        <fgColor rgb="FFFFFF00"/>
        <bgColor indexed="64"/>
      </patternFill>
    </fill>
    <fill>
      <patternFill patternType="solid">
        <fgColor theme="5" tint="0.79998168889431442"/>
        <bgColor indexed="64"/>
      </patternFill>
    </fill>
    <fill>
      <patternFill patternType="solid">
        <fgColor rgb="FF4B71D6"/>
        <bgColor rgb="FF000000"/>
      </patternFill>
    </fill>
    <fill>
      <patternFill patternType="solid">
        <fgColor rgb="FFEBEEF1"/>
        <bgColor rgb="FF000000"/>
      </patternFill>
    </fill>
    <fill>
      <patternFill patternType="solid">
        <fgColor rgb="FFD9E1F2"/>
        <bgColor rgb="FFD9E1F2"/>
      </patternFill>
    </fill>
  </fills>
  <borders count="9">
    <border>
      <left/>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right/>
      <top/>
      <bottom style="thin">
        <color rgb="FF8EA9DB"/>
      </bottom>
      <diagonal/>
    </border>
  </borders>
  <cellStyleXfs count="2">
    <xf numFmtId="0" fontId="0" fillId="0" borderId="0"/>
    <xf numFmtId="9" fontId="1" fillId="0" borderId="0" applyFont="0" applyFill="0" applyBorder="0" applyAlignment="0" applyProtection="0"/>
  </cellStyleXfs>
  <cellXfs count="81">
    <xf numFmtId="0" fontId="0" fillId="0" borderId="0" xfId="0"/>
    <xf numFmtId="0" fontId="2" fillId="2" borderId="1" xfId="0" applyFont="1" applyFill="1" applyBorder="1"/>
    <xf numFmtId="43" fontId="2" fillId="2" borderId="1" xfId="0" applyNumberFormat="1" applyFont="1" applyFill="1" applyBorder="1" applyAlignment="1">
      <alignment wrapText="1"/>
    </xf>
    <xf numFmtId="43" fontId="2" fillId="2" borderId="1" xfId="0" applyNumberFormat="1" applyFont="1" applyFill="1" applyBorder="1"/>
    <xf numFmtId="0" fontId="2" fillId="2" borderId="1" xfId="0" applyFont="1" applyFill="1" applyBorder="1" applyAlignment="1">
      <alignment wrapText="1"/>
    </xf>
    <xf numFmtId="0" fontId="0" fillId="3" borderId="2" xfId="0" applyFill="1" applyBorder="1"/>
    <xf numFmtId="164" fontId="0" fillId="3" borderId="2" xfId="0" applyNumberFormat="1" applyFill="1" applyBorder="1"/>
    <xf numFmtId="164" fontId="0" fillId="3" borderId="2" xfId="0" applyNumberFormat="1" applyFill="1" applyBorder="1" applyAlignment="1">
      <alignment horizontal="left"/>
    </xf>
    <xf numFmtId="164" fontId="3" fillId="3" borderId="2" xfId="0" applyNumberFormat="1" applyFont="1" applyFill="1" applyBorder="1"/>
    <xf numFmtId="0" fontId="3" fillId="3" borderId="2" xfId="0" applyFont="1" applyFill="1" applyBorder="1" applyAlignment="1">
      <alignment horizontal="center"/>
    </xf>
    <xf numFmtId="0" fontId="0" fillId="3" borderId="2" xfId="0" applyFill="1" applyBorder="1" applyAlignment="1">
      <alignment wrapText="1"/>
    </xf>
    <xf numFmtId="164" fontId="4" fillId="3" borderId="2" xfId="0" applyNumberFormat="1" applyFont="1" applyFill="1" applyBorder="1"/>
    <xf numFmtId="0" fontId="5" fillId="3" borderId="2" xfId="0" applyFont="1" applyFill="1" applyBorder="1" applyAlignment="1">
      <alignment horizontal="center"/>
    </xf>
    <xf numFmtId="0" fontId="0" fillId="3" borderId="2" xfId="0" applyFill="1" applyBorder="1" applyAlignment="1">
      <alignment horizontal="center"/>
    </xf>
    <xf numFmtId="164" fontId="5" fillId="3" borderId="2" xfId="0" applyNumberFormat="1" applyFont="1" applyFill="1" applyBorder="1"/>
    <xf numFmtId="0" fontId="0" fillId="3" borderId="2" xfId="0" quotePrefix="1" applyFill="1" applyBorder="1" applyAlignment="1">
      <alignment horizontal="center"/>
    </xf>
    <xf numFmtId="0" fontId="6" fillId="2" borderId="3" xfId="0" applyFont="1" applyFill="1" applyBorder="1"/>
    <xf numFmtId="0" fontId="6" fillId="2" borderId="0" xfId="0" applyFont="1" applyFill="1"/>
    <xf numFmtId="0" fontId="6" fillId="2" borderId="4" xfId="0" applyFont="1" applyFill="1" applyBorder="1"/>
    <xf numFmtId="0" fontId="6" fillId="2" borderId="5" xfId="0" applyFont="1" applyFill="1" applyBorder="1"/>
    <xf numFmtId="164" fontId="6" fillId="2" borderId="5" xfId="0" applyNumberFormat="1" applyFont="1" applyFill="1" applyBorder="1"/>
    <xf numFmtId="0" fontId="6" fillId="2" borderId="5" xfId="0" applyFont="1" applyFill="1" applyBorder="1" applyAlignment="1">
      <alignment wrapText="1"/>
    </xf>
    <xf numFmtId="165" fontId="0" fillId="3" borderId="2" xfId="0" applyNumberFormat="1" applyFill="1" applyBorder="1"/>
    <xf numFmtId="165" fontId="0" fillId="3" borderId="2" xfId="0" applyNumberFormat="1" applyFill="1" applyBorder="1" applyAlignment="1">
      <alignment horizontal="left"/>
    </xf>
    <xf numFmtId="165" fontId="6" fillId="2" borderId="5" xfId="0" applyNumberFormat="1" applyFont="1" applyFill="1" applyBorder="1"/>
    <xf numFmtId="165" fontId="3" fillId="3" borderId="2" xfId="0" applyNumberFormat="1" applyFont="1" applyFill="1" applyBorder="1"/>
    <xf numFmtId="1" fontId="0" fillId="3" borderId="2" xfId="0" applyNumberFormat="1" applyFill="1" applyBorder="1"/>
    <xf numFmtId="1" fontId="6" fillId="2" borderId="5" xfId="0" applyNumberFormat="1" applyFont="1" applyFill="1" applyBorder="1"/>
    <xf numFmtId="0" fontId="4" fillId="3" borderId="2" xfId="0" applyFont="1" applyFill="1" applyBorder="1" applyAlignment="1">
      <alignment horizontal="center"/>
    </xf>
    <xf numFmtId="0" fontId="0" fillId="0" borderId="0" xfId="0" pivotButton="1"/>
    <xf numFmtId="0" fontId="0" fillId="0" borderId="0" xfId="0" applyAlignment="1">
      <alignment horizontal="left"/>
    </xf>
    <xf numFmtId="165" fontId="0" fillId="0" borderId="0" xfId="0" applyNumberFormat="1"/>
    <xf numFmtId="166" fontId="0" fillId="3" borderId="2" xfId="0" applyNumberFormat="1" applyFill="1" applyBorder="1"/>
    <xf numFmtId="165" fontId="0" fillId="0" borderId="2" xfId="0" applyNumberFormat="1" applyBorder="1"/>
    <xf numFmtId="0" fontId="0" fillId="4" borderId="0" xfId="0" applyFill="1"/>
    <xf numFmtId="10" fontId="0" fillId="0" borderId="0" xfId="1" applyNumberFormat="1" applyFont="1"/>
    <xf numFmtId="166" fontId="6" fillId="2" borderId="0" xfId="0" applyNumberFormat="1" applyFont="1" applyFill="1"/>
    <xf numFmtId="165" fontId="4" fillId="3" borderId="2" xfId="0" applyNumberFormat="1" applyFont="1" applyFill="1" applyBorder="1"/>
    <xf numFmtId="0" fontId="4" fillId="0" borderId="0" xfId="0" applyFont="1"/>
    <xf numFmtId="1" fontId="0" fillId="0" borderId="0" xfId="0" applyNumberFormat="1"/>
    <xf numFmtId="165" fontId="4" fillId="3" borderId="2" xfId="0" applyNumberFormat="1" applyFont="1" applyFill="1" applyBorder="1" applyAlignment="1">
      <alignment horizontal="right"/>
    </xf>
    <xf numFmtId="165" fontId="6" fillId="2" borderId="5" xfId="0" applyNumberFormat="1" applyFont="1" applyFill="1" applyBorder="1" applyAlignment="1">
      <alignment horizontal="right"/>
    </xf>
    <xf numFmtId="0" fontId="4" fillId="0" borderId="0" xfId="0" applyFont="1" applyAlignment="1">
      <alignment horizontal="right"/>
    </xf>
    <xf numFmtId="0" fontId="0" fillId="5" borderId="0" xfId="0" applyFill="1"/>
    <xf numFmtId="0" fontId="8" fillId="6" borderId="0" xfId="0" applyFont="1" applyFill="1"/>
    <xf numFmtId="165" fontId="0" fillId="3" borderId="6" xfId="0" applyNumberFormat="1" applyFill="1" applyBorder="1"/>
    <xf numFmtId="0" fontId="5" fillId="3" borderId="6" xfId="0" applyFont="1" applyFill="1" applyBorder="1" applyAlignment="1">
      <alignment horizontal="center"/>
    </xf>
    <xf numFmtId="165" fontId="0" fillId="0" borderId="6" xfId="0" applyNumberFormat="1" applyBorder="1"/>
    <xf numFmtId="0" fontId="9" fillId="7" borderId="0" xfId="0" applyFont="1" applyFill="1"/>
    <xf numFmtId="0" fontId="9" fillId="7" borderId="0" xfId="0" applyFont="1" applyFill="1" applyAlignment="1">
      <alignment wrapText="1"/>
    </xf>
    <xf numFmtId="0" fontId="10" fillId="8" borderId="0" xfId="0" applyFont="1" applyFill="1"/>
    <xf numFmtId="0" fontId="10" fillId="8" borderId="2" xfId="0" applyFont="1" applyFill="1" applyBorder="1"/>
    <xf numFmtId="0" fontId="10" fillId="8" borderId="0" xfId="0" applyFont="1" applyFill="1" applyAlignment="1">
      <alignment wrapText="1"/>
    </xf>
    <xf numFmtId="0" fontId="10" fillId="8" borderId="2" xfId="0" applyFont="1" applyFill="1" applyBorder="1" applyAlignment="1">
      <alignment wrapText="1"/>
    </xf>
    <xf numFmtId="0" fontId="0" fillId="3" borderId="7" xfId="0" applyFill="1" applyBorder="1"/>
    <xf numFmtId="166" fontId="0" fillId="3" borderId="7" xfId="0" applyNumberFormat="1" applyFill="1" applyBorder="1"/>
    <xf numFmtId="164" fontId="0" fillId="3" borderId="7" xfId="0" applyNumberFormat="1" applyFill="1" applyBorder="1" applyAlignment="1">
      <alignment horizontal="left"/>
    </xf>
    <xf numFmtId="164" fontId="0" fillId="3" borderId="7" xfId="0" applyNumberFormat="1" applyFill="1" applyBorder="1"/>
    <xf numFmtId="0" fontId="3" fillId="3" borderId="7" xfId="0" applyFont="1" applyFill="1" applyBorder="1" applyAlignment="1">
      <alignment horizontal="center"/>
    </xf>
    <xf numFmtId="0" fontId="0" fillId="3" borderId="7" xfId="0" applyFill="1" applyBorder="1" applyAlignment="1">
      <alignment horizontal="center"/>
    </xf>
    <xf numFmtId="0" fontId="0" fillId="3" borderId="7" xfId="0" quotePrefix="1" applyFill="1" applyBorder="1" applyAlignment="1">
      <alignment horizontal="center"/>
    </xf>
    <xf numFmtId="164" fontId="0" fillId="3" borderId="7" xfId="0" applyNumberFormat="1" applyFill="1" applyBorder="1" applyAlignment="1">
      <alignment wrapText="1"/>
    </xf>
    <xf numFmtId="0" fontId="5" fillId="3" borderId="7" xfId="0" applyFont="1" applyFill="1" applyBorder="1" applyAlignment="1">
      <alignment horizontal="center"/>
    </xf>
    <xf numFmtId="165" fontId="0" fillId="3" borderId="7" xfId="0" applyNumberFormat="1" applyFill="1" applyBorder="1" applyAlignment="1">
      <alignment horizontal="left"/>
    </xf>
    <xf numFmtId="165" fontId="0" fillId="3" borderId="7" xfId="0" applyNumberFormat="1" applyFill="1" applyBorder="1"/>
    <xf numFmtId="165" fontId="0" fillId="3" borderId="7" xfId="0" applyNumberFormat="1" applyFill="1" applyBorder="1" applyAlignment="1">
      <alignment wrapText="1"/>
    </xf>
    <xf numFmtId="1" fontId="0" fillId="3" borderId="7" xfId="0" applyNumberFormat="1" applyFill="1" applyBorder="1"/>
    <xf numFmtId="0" fontId="4" fillId="3" borderId="7" xfId="0" applyFont="1" applyFill="1" applyBorder="1" applyAlignment="1">
      <alignment horizontal="center"/>
    </xf>
    <xf numFmtId="0" fontId="0" fillId="0" borderId="2" xfId="0" applyBorder="1"/>
    <xf numFmtId="39" fontId="0" fillId="0" borderId="0" xfId="0" applyNumberFormat="1"/>
    <xf numFmtId="0" fontId="0" fillId="0" borderId="2" xfId="0" pivotButton="1" applyBorder="1"/>
    <xf numFmtId="0" fontId="0" fillId="0" borderId="2" xfId="0" applyBorder="1" applyAlignment="1">
      <alignment horizontal="left"/>
    </xf>
    <xf numFmtId="10" fontId="0" fillId="0" borderId="2" xfId="0" applyNumberFormat="1" applyBorder="1"/>
    <xf numFmtId="0" fontId="11" fillId="9" borderId="8" xfId="0" applyFont="1" applyFill="1" applyBorder="1"/>
    <xf numFmtId="0" fontId="5" fillId="0" borderId="0" xfId="0" applyFont="1"/>
    <xf numFmtId="0" fontId="0" fillId="0" borderId="0" xfId="0" applyAlignment="1">
      <alignment vertical="center" wrapText="1"/>
    </xf>
    <xf numFmtId="15" fontId="0" fillId="0" borderId="0" xfId="0" applyNumberFormat="1" applyAlignment="1">
      <alignment vertical="center" wrapText="1"/>
    </xf>
    <xf numFmtId="4" fontId="0" fillId="0" borderId="0" xfId="0" applyNumberFormat="1"/>
    <xf numFmtId="4" fontId="0" fillId="0" borderId="0" xfId="0" applyNumberFormat="1" applyAlignment="1">
      <alignment vertical="center" wrapText="1"/>
    </xf>
    <xf numFmtId="0" fontId="0" fillId="0" borderId="0" xfId="0" applyNumberFormat="1"/>
    <xf numFmtId="0" fontId="0" fillId="0" borderId="2" xfId="0" applyNumberFormat="1" applyBorder="1"/>
  </cellXfs>
  <cellStyles count="2">
    <cellStyle name="Normal" xfId="0" builtinId="0"/>
    <cellStyle name="Percent" xfId="1" builtinId="5"/>
  </cellStyles>
  <dxfs count="228">
    <dxf>
      <fill>
        <patternFill patternType="solid">
          <fgColor indexed="64"/>
          <bgColor theme="3" tint="0.89999084444715716"/>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strike val="0"/>
        <outline val="0"/>
        <shadow val="0"/>
        <u val="none"/>
        <vertAlign val="baseline"/>
        <color auto="1"/>
        <name val="Calibri"/>
        <family val="2"/>
        <scheme val="minor"/>
      </font>
      <numFmt numFmtId="165" formatCode="_-[$₦-466]\ * #,##0.00_-;\-[$₦-466]\ * #,##0.00_-;_-[$₦-466]\ * &quot;-&quot;??_-;_-@_-"/>
      <fill>
        <patternFill patternType="solid">
          <fgColor indexed="64"/>
          <bgColor theme="3" tint="0.89999084444715716"/>
        </patternFill>
      </fill>
      <border diagonalUp="0" diagonalDown="0" outline="0">
        <left style="thin">
          <color indexed="64"/>
        </left>
        <right style="thin">
          <color indexed="64"/>
        </right>
        <top style="thin">
          <color indexed="64"/>
        </top>
        <bottom style="thin">
          <color indexed="64"/>
        </bottom>
      </border>
    </dxf>
    <dxf>
      <numFmt numFmtId="165" formatCode="_-[$₦-466]\ * #,##0.00_-;\-[$₦-466]\ * #,##0.00_-;_-[$₦-466]\ * &quot;-&quot;??_-;_-@_-"/>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5" formatCode="_-[$₦-466]\ * #,##0.00_-;\-[$₦-466]\ * #,##0.00_-;_-[$₦-466]\ * &quot;-&quot;??_-;_-@_-"/>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3" tint="0.89999084444715716"/>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3" tint="0.89999084444715716"/>
        </patternFill>
      </fill>
      <border diagonalUp="0" diagonalDown="0">
        <left style="thin">
          <color indexed="64"/>
        </left>
        <right style="thin">
          <color indexed="64"/>
        </right>
        <top style="thin">
          <color indexed="64"/>
        </top>
        <bottom style="thin">
          <color indexed="64"/>
        </bottom>
        <vertical/>
        <horizontal/>
      </border>
    </dxf>
    <dxf>
      <numFmt numFmtId="166" formatCode="[$-409]d\-mmm\-yy;@"/>
      <fill>
        <patternFill patternType="solid">
          <fgColor indexed="64"/>
          <bgColor theme="3" tint="0.89999084444715716"/>
        </patternFill>
      </fill>
      <border diagonalUp="0" diagonalDown="0">
        <left style="thin">
          <color indexed="64"/>
        </left>
        <right style="thin">
          <color indexed="64"/>
        </right>
        <top style="thin">
          <color indexed="64"/>
        </top>
        <bottom style="thin">
          <color indexed="64"/>
        </bottom>
        <vertical/>
        <horizontal/>
      </border>
    </dxf>
    <dxf>
      <numFmt numFmtId="166" formatCode="[$-409]d\-mmm\-yy;@"/>
      <fill>
        <patternFill patternType="solid">
          <fgColor indexed="64"/>
          <bgColor theme="3" tint="0.89999084444715716"/>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3" tint="0.89999084444715716"/>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3" tint="0.89999084444715716"/>
        </patternFill>
      </fill>
      <border diagonalUp="0" diagonalDown="0">
        <left style="thin">
          <color indexed="64"/>
        </left>
        <right style="thin">
          <color indexed="64"/>
        </right>
        <top style="thin">
          <color indexed="64"/>
        </top>
        <bottom style="thin">
          <color indexed="64"/>
        </bottom>
        <vertical/>
        <horizontal/>
      </border>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5" tint="-0.499984740745262"/>
      </font>
      <fill>
        <patternFill>
          <bgColor theme="5" tint="0.59996337778862885"/>
        </patternFill>
      </fill>
    </dxf>
    <dxf>
      <font>
        <color rgb="FF9C0006"/>
      </font>
      <fill>
        <patternFill>
          <bgColor rgb="FFFFC7CE"/>
        </patternFill>
      </fill>
    </dxf>
    <dxf>
      <fill>
        <patternFill patternType="solid">
          <fgColor indexed="64"/>
          <bgColor theme="3" tint="0.89999084444715716"/>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strike val="0"/>
        <outline val="0"/>
        <shadow val="0"/>
        <u val="none"/>
        <vertAlign val="baseline"/>
        <color auto="1"/>
        <name val="Calibri"/>
        <family val="2"/>
        <scheme val="minor"/>
      </font>
      <numFmt numFmtId="165" formatCode="_-[$₦-466]\ * #,##0.00_-;\-[$₦-466]\ * #,##0.00_-;_-[$₦-466]\ * &quot;-&quot;??_-;_-@_-"/>
      <fill>
        <patternFill patternType="solid">
          <fgColor indexed="64"/>
          <bgColor theme="3" tint="0.89999084444715716"/>
        </patternFill>
      </fill>
      <border diagonalUp="0" diagonalDown="0" outline="0">
        <left style="thin">
          <color indexed="64"/>
        </left>
        <right style="thin">
          <color indexed="64"/>
        </right>
        <top style="thin">
          <color indexed="64"/>
        </top>
        <bottom style="thin">
          <color indexed="64"/>
        </bottom>
      </border>
    </dxf>
    <dxf>
      <numFmt numFmtId="165" formatCode="_-[$₦-466]\ * #,##0.00_-;\-[$₦-466]\ * #,##0.00_-;_-[$₦-466]\ * &quot;-&quot;??_-;_-@_-"/>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5" formatCode="_-[$₦-466]\ * #,##0.00_-;\-[$₦-466]\ * #,##0.00_-;_-[$₦-466]\ * &quot;-&quot;??_-;_-@_-"/>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3" tint="0.89999084444715716"/>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3" tint="0.89999084444715716"/>
        </patternFill>
      </fill>
      <border diagonalUp="0" diagonalDown="0">
        <left style="thin">
          <color indexed="64"/>
        </left>
        <right style="thin">
          <color indexed="64"/>
        </right>
        <top style="thin">
          <color indexed="64"/>
        </top>
        <bottom style="thin">
          <color indexed="64"/>
        </bottom>
        <vertical/>
        <horizontal/>
      </border>
    </dxf>
    <dxf>
      <numFmt numFmtId="166" formatCode="[$-409]d\-mmm\-yy;@"/>
      <fill>
        <patternFill patternType="solid">
          <fgColor indexed="64"/>
          <bgColor theme="3" tint="0.89999084444715716"/>
        </patternFill>
      </fill>
      <border diagonalUp="0" diagonalDown="0">
        <left style="thin">
          <color indexed="64"/>
        </left>
        <right style="thin">
          <color indexed="64"/>
        </right>
        <top style="thin">
          <color indexed="64"/>
        </top>
        <bottom style="thin">
          <color indexed="64"/>
        </bottom>
        <vertical/>
        <horizontal/>
      </border>
    </dxf>
    <dxf>
      <numFmt numFmtId="166" formatCode="[$-409]d\-mmm\-yy;@"/>
      <fill>
        <patternFill patternType="solid">
          <fgColor indexed="64"/>
          <bgColor theme="3" tint="0.89999084444715716"/>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3" tint="0.89999084444715716"/>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3" tint="0.89999084444715716"/>
        </patternFill>
      </fill>
      <border diagonalUp="0" diagonalDown="0">
        <left style="thin">
          <color indexed="64"/>
        </left>
        <right style="thin">
          <color indexed="64"/>
        </right>
        <top style="thin">
          <color indexed="64"/>
        </top>
        <bottom style="thin">
          <color indexed="64"/>
        </bottom>
        <vertical/>
        <horizontal/>
      </border>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5" tint="-0.499984740745262"/>
      </font>
      <fill>
        <patternFill>
          <bgColor theme="5" tint="0.59996337778862885"/>
        </patternFill>
      </fill>
    </dxf>
    <dxf>
      <font>
        <color rgb="FF9C0006"/>
      </font>
      <fill>
        <patternFill>
          <bgColor rgb="FFFFC7CE"/>
        </patternFill>
      </fill>
    </dxf>
    <dxf>
      <fill>
        <patternFill patternType="solid">
          <fgColor indexed="64"/>
          <bgColor theme="3" tint="0.89999084444715716"/>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strike val="0"/>
        <outline val="0"/>
        <shadow val="0"/>
        <u val="none"/>
        <vertAlign val="baseline"/>
        <color auto="1"/>
        <name val="Calibri"/>
        <family val="2"/>
        <scheme val="minor"/>
      </font>
      <numFmt numFmtId="165" formatCode="_-[$₦-466]\ * #,##0.00_-;\-[$₦-466]\ * #,##0.00_-;_-[$₦-466]\ * &quot;-&quot;??_-;_-@_-"/>
      <fill>
        <patternFill patternType="solid">
          <fgColor indexed="64"/>
          <bgColor theme="3" tint="0.89999084444715716"/>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3" tint="0.89999084444715716"/>
        </patternFill>
      </fill>
      <border diagonalUp="0" diagonalDown="0">
        <left style="thin">
          <color indexed="64"/>
        </left>
        <right style="thin">
          <color indexed="64"/>
        </right>
        <top style="thin">
          <color indexed="64"/>
        </top>
        <bottom style="thin">
          <color indexed="64"/>
        </bottom>
        <vertical/>
        <horizontal/>
      </border>
    </dxf>
    <dxf>
      <numFmt numFmtId="166" formatCode="[$-409]d\-mmm\-yy;@"/>
      <fill>
        <patternFill patternType="solid">
          <fgColor indexed="64"/>
          <bgColor theme="3" tint="0.89999084444715716"/>
        </patternFill>
      </fill>
      <border diagonalUp="0" diagonalDown="0">
        <left style="thin">
          <color indexed="64"/>
        </left>
        <right style="thin">
          <color indexed="64"/>
        </right>
        <top style="thin">
          <color indexed="64"/>
        </top>
        <bottom style="thin">
          <color indexed="64"/>
        </bottom>
        <vertical/>
        <horizontal/>
      </border>
    </dxf>
    <dxf>
      <numFmt numFmtId="166" formatCode="[$-409]d\-mmm\-yy;@"/>
      <fill>
        <patternFill patternType="solid">
          <fgColor indexed="64"/>
          <bgColor theme="3" tint="0.89999084444715716"/>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3" tint="0.89999084444715716"/>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3" tint="0.89999084444715716"/>
        </patternFill>
      </fill>
      <border diagonalUp="0" diagonalDown="0">
        <left style="thin">
          <color indexed="64"/>
        </left>
        <right style="thin">
          <color indexed="64"/>
        </right>
        <top style="thin">
          <color indexed="64"/>
        </top>
        <bottom style="thin">
          <color indexed="64"/>
        </bottom>
        <vertical/>
        <horizontal/>
      </border>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5" tint="-0.499984740745262"/>
      </font>
      <fill>
        <patternFill>
          <bgColor theme="5" tint="0.59996337778862885"/>
        </patternFill>
      </fill>
    </dxf>
    <dxf>
      <font>
        <color rgb="FF9C0006"/>
      </font>
      <fill>
        <patternFill>
          <bgColor rgb="FFFFC7CE"/>
        </patternFill>
      </fill>
    </dxf>
    <dxf>
      <fill>
        <patternFill patternType="solid">
          <fgColor indexed="64"/>
          <bgColor theme="3" tint="0.89999084444715716"/>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strike val="0"/>
        <outline val="0"/>
        <shadow val="0"/>
        <u val="none"/>
        <vertAlign val="baseline"/>
        <color auto="1"/>
        <name val="Calibri"/>
        <family val="2"/>
        <scheme val="minor"/>
      </font>
      <numFmt numFmtId="165" formatCode="_-[$₦-466]\ * #,##0.00_-;\-[$₦-466]\ * #,##0.00_-;_-[$₦-466]\ * &quot;-&quot;??_-;_-@_-"/>
      <fill>
        <patternFill patternType="solid">
          <fgColor indexed="64"/>
          <bgColor theme="3" tint="0.89999084444715716"/>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3" tint="0.89999084444715716"/>
        </patternFill>
      </fill>
      <border diagonalUp="0" diagonalDown="0">
        <left style="thin">
          <color indexed="64"/>
        </left>
        <right style="thin">
          <color indexed="64"/>
        </right>
        <top style="thin">
          <color indexed="64"/>
        </top>
        <bottom style="thin">
          <color indexed="64"/>
        </bottom>
        <vertical/>
        <horizontal/>
      </border>
    </dxf>
    <dxf>
      <numFmt numFmtId="166" formatCode="[$-409]d\-mmm\-yy;@"/>
      <fill>
        <patternFill patternType="solid">
          <fgColor indexed="64"/>
          <bgColor theme="3" tint="0.89999084444715716"/>
        </patternFill>
      </fill>
      <border diagonalUp="0" diagonalDown="0">
        <left style="thin">
          <color indexed="64"/>
        </left>
        <right style="thin">
          <color indexed="64"/>
        </right>
        <top style="thin">
          <color indexed="64"/>
        </top>
        <bottom style="thin">
          <color indexed="64"/>
        </bottom>
        <vertical/>
        <horizontal/>
      </border>
    </dxf>
    <dxf>
      <numFmt numFmtId="166" formatCode="[$-409]d\-mmm\-yy;@"/>
      <fill>
        <patternFill patternType="solid">
          <fgColor indexed="64"/>
          <bgColor theme="3" tint="0.89999084444715716"/>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3" tint="0.89999084444715716"/>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3" tint="0.89999084444715716"/>
        </patternFill>
      </fill>
      <border diagonalUp="0" diagonalDown="0">
        <left style="thin">
          <color indexed="64"/>
        </left>
        <right style="thin">
          <color indexed="64"/>
        </right>
        <top style="thin">
          <color indexed="64"/>
        </top>
        <bottom style="thin">
          <color indexed="64"/>
        </bottom>
        <vertical/>
        <horizontal/>
      </border>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5" tint="-0.499984740745262"/>
      </font>
      <fill>
        <patternFill>
          <bgColor theme="5" tint="0.59996337778862885"/>
        </patternFill>
      </fill>
    </dxf>
    <dxf>
      <font>
        <color rgb="FF9C0006"/>
      </font>
      <fill>
        <patternFill>
          <bgColor rgb="FFFFC7CE"/>
        </patternFill>
      </fill>
    </dxf>
    <dxf>
      <fill>
        <patternFill patternType="solid">
          <fgColor indexed="64"/>
          <bgColor theme="3" tint="0.89999084444715716"/>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strike val="0"/>
        <outline val="0"/>
        <shadow val="0"/>
        <u val="none"/>
        <vertAlign val="baseline"/>
        <color auto="1"/>
        <name val="Calibri"/>
        <family val="2"/>
        <scheme val="minor"/>
      </font>
      <numFmt numFmtId="165" formatCode="_-[$₦-466]\ * #,##0.00_-;\-[$₦-466]\ * #,##0.00_-;_-[$₦-466]\ * &quot;-&quot;??_-;_-@_-"/>
      <fill>
        <patternFill patternType="solid">
          <fgColor indexed="64"/>
          <bgColor theme="3" tint="0.89999084444715716"/>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3" tint="0.89999084444715716"/>
        </patternFill>
      </fill>
      <border diagonalUp="0" diagonalDown="0">
        <left style="thin">
          <color indexed="64"/>
        </left>
        <right style="thin">
          <color indexed="64"/>
        </right>
        <top style="thin">
          <color indexed="64"/>
        </top>
        <bottom style="thin">
          <color indexed="64"/>
        </bottom>
        <vertical/>
        <horizontal/>
      </border>
    </dxf>
    <dxf>
      <numFmt numFmtId="166" formatCode="[$-409]d\-mmm\-yy;@"/>
      <fill>
        <patternFill patternType="solid">
          <fgColor indexed="64"/>
          <bgColor theme="3" tint="0.89999084444715716"/>
        </patternFill>
      </fill>
      <border diagonalUp="0" diagonalDown="0">
        <left style="thin">
          <color indexed="64"/>
        </left>
        <right style="thin">
          <color indexed="64"/>
        </right>
        <top style="thin">
          <color indexed="64"/>
        </top>
        <bottom style="thin">
          <color indexed="64"/>
        </bottom>
        <vertical/>
        <horizontal/>
      </border>
    </dxf>
    <dxf>
      <numFmt numFmtId="166" formatCode="[$-409]d\-mmm\-yy;@"/>
      <fill>
        <patternFill patternType="solid">
          <fgColor indexed="64"/>
          <bgColor theme="3" tint="0.89999084444715716"/>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3" tint="0.89999084444715716"/>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3" tint="0.89999084444715716"/>
        </patternFill>
      </fill>
      <border diagonalUp="0" diagonalDown="0">
        <left style="thin">
          <color indexed="64"/>
        </left>
        <right style="thin">
          <color indexed="64"/>
        </right>
        <top style="thin">
          <color indexed="64"/>
        </top>
        <bottom style="thin">
          <color indexed="64"/>
        </bottom>
        <vertical/>
        <horizontal/>
      </border>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5" tint="-0.499984740745262"/>
      </font>
      <fill>
        <patternFill>
          <bgColor theme="5" tint="0.59996337778862885"/>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5" tint="-0.499984740745262"/>
      </font>
      <fill>
        <patternFill>
          <bgColor theme="5" tint="0.59996337778862885"/>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5" tint="-0.499984740745262"/>
      </font>
      <fill>
        <patternFill>
          <bgColor theme="5" tint="0.59996337778862885"/>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5" tint="-0.499984740745262"/>
      </font>
      <fill>
        <patternFill>
          <bgColor theme="5" tint="0.59996337778862885"/>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5" tint="-0.499984740745262"/>
      </font>
      <fill>
        <patternFill>
          <bgColor theme="5" tint="0.59996337778862885"/>
        </patternFill>
      </fill>
    </dxf>
    <dxf>
      <font>
        <color rgb="FF9C0006"/>
      </font>
      <fill>
        <patternFill>
          <bgColor rgb="FFFFC7CE"/>
        </patternFill>
      </fill>
    </dxf>
    <dxf>
      <fill>
        <patternFill patternType="solid">
          <fgColor indexed="64"/>
          <bgColor theme="3" tint="0.89999084444715716"/>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strike val="0"/>
        <outline val="0"/>
        <shadow val="0"/>
        <u val="none"/>
        <vertAlign val="baseline"/>
        <color auto="1"/>
        <name val="Calibri"/>
        <family val="2"/>
        <scheme val="minor"/>
      </font>
      <numFmt numFmtId="165" formatCode="_-[$₦-466]\ * #,##0.00_-;\-[$₦-466]\ * #,##0.00_-;_-[$₦-466]\ * &quot;-&quot;??_-;_-@_-"/>
      <fill>
        <patternFill patternType="solid">
          <fgColor indexed="64"/>
          <bgColor theme="3" tint="0.89999084444715716"/>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3" tint="0.89999084444715716"/>
        </patternFill>
      </fill>
      <border diagonalUp="0" diagonalDown="0">
        <left style="thin">
          <color indexed="64"/>
        </left>
        <right style="thin">
          <color indexed="64"/>
        </right>
        <top style="thin">
          <color indexed="64"/>
        </top>
        <bottom style="thin">
          <color indexed="64"/>
        </bottom>
        <vertical/>
        <horizontal/>
      </border>
    </dxf>
    <dxf>
      <numFmt numFmtId="166" formatCode="[$-409]d\-mmm\-yy;@"/>
      <fill>
        <patternFill patternType="solid">
          <fgColor indexed="64"/>
          <bgColor theme="3" tint="0.89999084444715716"/>
        </patternFill>
      </fill>
      <border diagonalUp="0" diagonalDown="0">
        <left style="thin">
          <color indexed="64"/>
        </left>
        <right style="thin">
          <color indexed="64"/>
        </right>
        <top style="thin">
          <color indexed="64"/>
        </top>
        <bottom style="thin">
          <color indexed="64"/>
        </bottom>
        <vertical/>
        <horizontal/>
      </border>
    </dxf>
    <dxf>
      <numFmt numFmtId="166" formatCode="[$-409]d\-mmm\-yy;@"/>
      <fill>
        <patternFill patternType="solid">
          <fgColor indexed="64"/>
          <bgColor theme="3" tint="0.89999084444715716"/>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3" tint="0.89999084444715716"/>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3" tint="0.89999084444715716"/>
        </patternFill>
      </fill>
      <border diagonalUp="0" diagonalDown="0">
        <left style="thin">
          <color indexed="64"/>
        </left>
        <right style="thin">
          <color indexed="64"/>
        </right>
        <top style="thin">
          <color indexed="64"/>
        </top>
        <bottom style="thin">
          <color indexed="64"/>
        </bottom>
        <vertical/>
        <horizontal/>
      </border>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5" tint="-0.499984740745262"/>
      </font>
      <fill>
        <patternFill>
          <bgColor theme="5" tint="0.59996337778862885"/>
        </patternFill>
      </fill>
    </dxf>
    <dxf>
      <font>
        <color rgb="FF9C0006"/>
      </font>
      <fill>
        <patternFill>
          <bgColor rgb="FFFFC7CE"/>
        </patternFill>
      </fill>
    </dxf>
    <dxf>
      <fill>
        <patternFill patternType="solid">
          <fgColor indexed="64"/>
          <bgColor theme="3" tint="0.89999084444715716"/>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strike val="0"/>
        <outline val="0"/>
        <shadow val="0"/>
        <u val="none"/>
        <vertAlign val="baseline"/>
        <color auto="1"/>
        <name val="Calibri"/>
        <family val="2"/>
        <scheme val="minor"/>
      </font>
      <numFmt numFmtId="165" formatCode="_-[$₦-466]\ * #,##0.00_-;\-[$₦-466]\ * #,##0.00_-;_-[$₦-466]\ * &quot;-&quot;??_-;_-@_-"/>
      <fill>
        <patternFill patternType="solid">
          <fgColor indexed="64"/>
          <bgColor theme="3" tint="0.89999084444715716"/>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3" tint="0.89999084444715716"/>
        </patternFill>
      </fill>
      <border diagonalUp="0" diagonalDown="0">
        <left style="thin">
          <color indexed="64"/>
        </left>
        <right style="thin">
          <color indexed="64"/>
        </right>
        <top style="thin">
          <color indexed="64"/>
        </top>
        <bottom style="thin">
          <color indexed="64"/>
        </bottom>
        <vertical/>
        <horizontal/>
      </border>
    </dxf>
    <dxf>
      <numFmt numFmtId="166" formatCode="[$-409]d\-mmm\-yy;@"/>
      <fill>
        <patternFill patternType="solid">
          <fgColor indexed="64"/>
          <bgColor theme="3" tint="0.89999084444715716"/>
        </patternFill>
      </fill>
      <border diagonalUp="0" diagonalDown="0">
        <left style="thin">
          <color indexed="64"/>
        </left>
        <right style="thin">
          <color indexed="64"/>
        </right>
        <top style="thin">
          <color indexed="64"/>
        </top>
        <bottom style="thin">
          <color indexed="64"/>
        </bottom>
        <vertical/>
        <horizontal/>
      </border>
    </dxf>
    <dxf>
      <numFmt numFmtId="166" formatCode="[$-409]d\-mmm\-yy;@"/>
      <fill>
        <patternFill patternType="solid">
          <fgColor indexed="64"/>
          <bgColor theme="3" tint="0.89999084444715716"/>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3" tint="0.89999084444715716"/>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3" tint="0.89999084444715716"/>
        </patternFill>
      </fill>
      <border diagonalUp="0" diagonalDown="0">
        <left style="thin">
          <color indexed="64"/>
        </left>
        <right style="thin">
          <color indexed="64"/>
        </right>
        <top style="thin">
          <color indexed="64"/>
        </top>
        <bottom style="thin">
          <color indexed="64"/>
        </bottom>
        <vertical/>
        <horizontal/>
      </border>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5" tint="-0.499984740745262"/>
      </font>
      <fill>
        <patternFill>
          <bgColor theme="5" tint="0.59996337778862885"/>
        </patternFill>
      </fill>
    </dxf>
    <dxf>
      <font>
        <color rgb="FF9C0006"/>
      </font>
      <fill>
        <patternFill>
          <bgColor rgb="FFFFC7CE"/>
        </patternFill>
      </fill>
    </dxf>
    <dxf>
      <fill>
        <patternFill patternType="solid">
          <fgColor indexed="64"/>
          <bgColor theme="3" tint="0.89999084444715716"/>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strike val="0"/>
        <outline val="0"/>
        <shadow val="0"/>
        <u val="none"/>
        <vertAlign val="baseline"/>
        <color auto="1"/>
        <name val="Calibri"/>
        <family val="2"/>
        <scheme val="minor"/>
      </font>
      <numFmt numFmtId="165" formatCode="_-[$₦-466]\ * #,##0.00_-;\-[$₦-466]\ * #,##0.00_-;_-[$₦-466]\ * &quot;-&quot;??_-;_-@_-"/>
      <fill>
        <patternFill patternType="solid">
          <fgColor indexed="64"/>
          <bgColor theme="3" tint="0.89999084444715716"/>
        </patternFill>
      </fill>
      <border diagonalUp="0" diagonalDown="0" outline="0">
        <left style="thin">
          <color indexed="64"/>
        </left>
        <right style="thin">
          <color indexed="64"/>
        </right>
        <top style="thin">
          <color indexed="64"/>
        </top>
        <bottom style="thin">
          <color indexed="64"/>
        </bottom>
      </border>
    </dxf>
    <dxf>
      <numFmt numFmtId="166" formatCode="[$-409]d\-mmm\-yy;@"/>
      <fill>
        <patternFill patternType="solid">
          <fgColor indexed="64"/>
          <bgColor theme="3" tint="0.89999084444715716"/>
        </patternFill>
      </fill>
      <border diagonalUp="0" diagonalDown="0">
        <left style="thin">
          <color indexed="64"/>
        </left>
        <right style="thin">
          <color indexed="64"/>
        </right>
        <top style="thin">
          <color indexed="64"/>
        </top>
        <bottom style="thin">
          <color indexed="64"/>
        </bottom>
        <vertical/>
        <horizontal/>
      </border>
    </dxf>
    <dxf>
      <numFmt numFmtId="166" formatCode="[$-409]d\-mmm\-yy;@"/>
      <fill>
        <patternFill patternType="solid">
          <fgColor indexed="64"/>
          <bgColor theme="3" tint="0.89999084444715716"/>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3" tint="0.89999084444715716"/>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3" tint="0.89999084444715716"/>
        </patternFill>
      </fill>
      <border diagonalUp="0" diagonalDown="0">
        <left style="thin">
          <color indexed="64"/>
        </left>
        <right style="thin">
          <color indexed="64"/>
        </right>
        <top style="thin">
          <color indexed="64"/>
        </top>
        <bottom style="thin">
          <color indexed="64"/>
        </bottom>
        <vertical/>
        <horizontal/>
      </border>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5" tint="-0.499984740745262"/>
      </font>
      <fill>
        <patternFill>
          <bgColor theme="5" tint="0.59996337778862885"/>
        </patternFill>
      </fill>
    </dxf>
    <dxf>
      <font>
        <color rgb="FF9C0006"/>
      </font>
      <fill>
        <patternFill>
          <bgColor rgb="FFFFC7CE"/>
        </patternFill>
      </fill>
    </dxf>
    <dxf>
      <fill>
        <patternFill patternType="solid">
          <fgColor indexed="64"/>
          <bgColor theme="3" tint="0.89999084444715716"/>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strike val="0"/>
        <outline val="0"/>
        <shadow val="0"/>
        <u val="none"/>
        <vertAlign val="baseline"/>
        <color auto="1"/>
        <name val="Calibri"/>
        <family val="2"/>
        <scheme val="minor"/>
      </font>
      <numFmt numFmtId="165" formatCode="_-[$₦-466]\ * #,##0.00_-;\-[$₦-466]\ * #,##0.00_-;_-[$₦-466]\ * &quot;-&quot;??_-;_-@_-"/>
      <fill>
        <patternFill patternType="solid">
          <fgColor indexed="64"/>
          <bgColor theme="3" tint="0.89999084444715716"/>
        </patternFill>
      </fill>
      <alignment horizontal="right"/>
      <border diagonalUp="0" diagonalDown="0">
        <left style="thin">
          <color indexed="64"/>
        </left>
        <right style="thin">
          <color indexed="64"/>
        </right>
        <top style="thin">
          <color indexed="64"/>
        </top>
        <bottom style="thin">
          <color indexed="64"/>
        </bottom>
      </border>
    </dxf>
    <dxf>
      <fill>
        <patternFill patternType="solid">
          <fgColor indexed="64"/>
          <bgColor theme="3" tint="0.89999084444715716"/>
        </patternFill>
      </fill>
      <border diagonalUp="0" diagonalDown="0">
        <left style="thin">
          <color indexed="64"/>
        </left>
        <right style="thin">
          <color indexed="64"/>
        </right>
        <top style="thin">
          <color indexed="64"/>
        </top>
        <bottom style="thin">
          <color indexed="64"/>
        </bottom>
        <vertical/>
        <horizontal/>
      </border>
    </dxf>
    <dxf>
      <numFmt numFmtId="166" formatCode="[$-409]d\-mmm\-yy;@"/>
      <fill>
        <patternFill patternType="solid">
          <fgColor indexed="64"/>
          <bgColor theme="3" tint="0.89999084444715716"/>
        </patternFill>
      </fill>
      <border diagonalUp="0" diagonalDown="0">
        <left style="thin">
          <color indexed="64"/>
        </left>
        <right style="thin">
          <color indexed="64"/>
        </right>
        <top style="thin">
          <color indexed="64"/>
        </top>
        <bottom style="thin">
          <color indexed="64"/>
        </bottom>
        <vertical/>
        <horizontal/>
      </border>
    </dxf>
    <dxf>
      <numFmt numFmtId="166" formatCode="[$-409]d\-mmm\-yy;@"/>
      <fill>
        <patternFill patternType="solid">
          <fgColor indexed="64"/>
          <bgColor theme="3" tint="0.89999084444715716"/>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3" tint="0.89999084444715716"/>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3" tint="0.89999084444715716"/>
        </patternFill>
      </fill>
      <border diagonalUp="0" diagonalDown="0">
        <left style="thin">
          <color indexed="64"/>
        </left>
        <right style="thin">
          <color indexed="64"/>
        </right>
        <top style="thin">
          <color indexed="64"/>
        </top>
        <bottom style="thin">
          <color indexed="64"/>
        </bottom>
        <vertical/>
        <horizontal/>
      </border>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5" tint="-0.499984740745262"/>
      </font>
      <fill>
        <patternFill>
          <bgColor theme="5"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5" tint="-0.499984740745262"/>
      </font>
      <fill>
        <patternFill>
          <bgColor theme="5" tint="0.59996337778862885"/>
        </patternFill>
      </fill>
    </dxf>
    <dxf>
      <font>
        <color rgb="FF9C0006"/>
      </font>
      <fill>
        <patternFill>
          <bgColor rgb="FFFFC7CE"/>
        </patternFill>
      </fill>
    </dxf>
    <dxf>
      <fill>
        <patternFill patternType="solid">
          <fgColor indexed="64"/>
          <bgColor theme="3" tint="0.89999084444715716"/>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strike val="0"/>
        <outline val="0"/>
        <shadow val="0"/>
        <u val="none"/>
        <vertAlign val="baseline"/>
        <color auto="1"/>
        <name val="Calibri"/>
        <family val="2"/>
        <scheme val="minor"/>
      </font>
      <numFmt numFmtId="165" formatCode="_-[$₦-466]\ * #,##0.00_-;\-[$₦-466]\ * #,##0.00_-;_-[$₦-466]\ * &quot;-&quot;??_-;_-@_-"/>
      <fill>
        <patternFill patternType="solid">
          <fgColor indexed="64"/>
          <bgColor theme="3" tint="0.89999084444715716"/>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3" tint="0.89999084444715716"/>
        </patternFill>
      </fill>
      <border diagonalUp="0" diagonalDown="0">
        <left style="thin">
          <color indexed="64"/>
        </left>
        <right style="thin">
          <color indexed="64"/>
        </right>
        <top style="thin">
          <color indexed="64"/>
        </top>
        <bottom style="thin">
          <color indexed="64"/>
        </bottom>
        <vertical/>
        <horizontal/>
      </border>
    </dxf>
    <dxf>
      <numFmt numFmtId="166" formatCode="[$-409]d\-mmm\-yy;@"/>
      <fill>
        <patternFill patternType="solid">
          <fgColor indexed="64"/>
          <bgColor theme="3" tint="0.89999084444715716"/>
        </patternFill>
      </fill>
      <border diagonalUp="0" diagonalDown="0">
        <left style="thin">
          <color indexed="64"/>
        </left>
        <right style="thin">
          <color indexed="64"/>
        </right>
        <top style="thin">
          <color indexed="64"/>
        </top>
        <bottom style="thin">
          <color indexed="64"/>
        </bottom>
        <vertical/>
        <horizontal/>
      </border>
    </dxf>
    <dxf>
      <numFmt numFmtId="166" formatCode="[$-409]d\-mmm\-yy;@"/>
      <fill>
        <patternFill patternType="solid">
          <fgColor indexed="64"/>
          <bgColor theme="3" tint="0.89999084444715716"/>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3" tint="0.89999084444715716"/>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3" tint="0.89999084444715716"/>
        </patternFill>
      </fill>
      <border diagonalUp="0" diagonalDown="0">
        <left style="thin">
          <color indexed="64"/>
        </left>
        <right style="thin">
          <color indexed="64"/>
        </right>
        <top style="thin">
          <color indexed="64"/>
        </top>
        <bottom style="thin">
          <color indexed="64"/>
        </bottom>
        <vertical/>
        <horizontal/>
      </border>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5" tint="-0.499984740745262"/>
      </font>
      <fill>
        <patternFill>
          <bgColor theme="5" tint="0.59996337778862885"/>
        </patternFill>
      </fill>
    </dxf>
    <dxf>
      <font>
        <color rgb="FF9C0006"/>
      </font>
      <fill>
        <patternFill>
          <bgColor rgb="FFFFC7CE"/>
        </patternFill>
      </fill>
    </dxf>
    <dxf>
      <fill>
        <patternFill patternType="solid">
          <fgColor indexed="64"/>
          <bgColor theme="3" tint="0.89999084444715716"/>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color rgb="FF000000"/>
      </font>
      <numFmt numFmtId="165" formatCode="_-[$₦-466]\ * #,##0.00_-;\-[$₦-466]\ * #,##0.00_-;_-[$₦-466]\ * &quot;-&quot;??_-;_-@_-"/>
      <fill>
        <patternFill patternType="solid">
          <fgColor indexed="64"/>
          <bgColor theme="3" tint="0.89999084444715716"/>
        </patternFill>
      </fill>
      <border diagonalUp="0" diagonalDown="0">
        <left style="thin">
          <color indexed="64"/>
        </left>
        <right style="thin">
          <color indexed="64"/>
        </right>
        <top style="thin">
          <color indexed="64"/>
        </top>
        <bottom style="thin">
          <color indexed="64"/>
        </bottom>
        <vertical/>
        <horizontal/>
      </border>
    </dxf>
    <dxf>
      <numFmt numFmtId="166" formatCode="[$-409]d\-mmm\-yy;@"/>
      <fill>
        <patternFill patternType="solid">
          <fgColor indexed="64"/>
          <bgColor theme="3" tint="0.89999084444715716"/>
        </patternFill>
      </fill>
      <border diagonalUp="0" diagonalDown="0">
        <left style="thin">
          <color indexed="64"/>
        </left>
        <right style="thin">
          <color indexed="64"/>
        </right>
        <top style="thin">
          <color indexed="64"/>
        </top>
        <bottom style="thin">
          <color indexed="64"/>
        </bottom>
        <vertical/>
        <horizontal/>
      </border>
    </dxf>
    <dxf>
      <numFmt numFmtId="166" formatCode="[$-409]d\-mmm\-yy;@"/>
      <fill>
        <patternFill patternType="solid">
          <fgColor indexed="64"/>
          <bgColor theme="3" tint="0.89999084444715716"/>
        </patternFill>
      </fill>
      <border diagonalUp="0" diagonalDown="0">
        <left style="thin">
          <color indexed="64"/>
        </left>
        <right style="thin">
          <color indexed="64"/>
        </right>
        <top style="thin">
          <color indexed="64"/>
        </top>
        <bottom style="thin">
          <color indexed="64"/>
        </bottom>
        <vertical/>
        <horizontal/>
      </border>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5" tint="-0.499984740745262"/>
      </font>
      <fill>
        <patternFill>
          <bgColor theme="5" tint="0.59996337778862885"/>
        </patternFill>
      </fill>
    </dxf>
    <dxf>
      <font>
        <color rgb="FF9C0006"/>
      </font>
      <fill>
        <patternFill>
          <bgColor rgb="FFFFC7CE"/>
        </patternFill>
      </fill>
    </dxf>
    <dxf>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color rgb="FFFF0000"/>
      </font>
      <numFmt numFmtId="164" formatCode="_-[$₦-46A]* #,##0.00_-;\-[$₦-46A]* #,##0.00_-;_-[$₦-46A]* &quot;-&quot;??_-;_-@_-"/>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dxf>
    <dxf>
      <font>
        <b/>
        <strike val="0"/>
        <outline val="0"/>
        <shadow val="0"/>
        <u val="none"/>
        <vertAlign val="baseline"/>
        <sz val="11"/>
        <color theme="0"/>
        <name val="Calibri"/>
        <family val="2"/>
        <scheme val="minor"/>
      </font>
      <fill>
        <patternFill patternType="solid">
          <bgColor rgb="FF4B71D6"/>
        </patternFill>
      </fill>
      <border outline="0">
        <left style="thin">
          <color rgb="FF000000"/>
        </left>
        <right style="thin">
          <color rgb="FF000000"/>
        </right>
        <top/>
        <bottom/>
      </border>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5" tint="-0.499984740745262"/>
      </font>
      <fill>
        <patternFill>
          <bgColor theme="5"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5" tint="-0.499984740745262"/>
      </font>
      <fill>
        <patternFill>
          <bgColor theme="5" tint="0.59996337778862885"/>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5" tint="-0.499984740745262"/>
      </font>
      <fill>
        <patternFill>
          <bgColor theme="5" tint="0.59996337778862885"/>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5" tint="-0.499984740745262"/>
      </font>
      <fill>
        <patternFill>
          <bgColor theme="5" tint="0.59996337778862885"/>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5" tint="-0.499984740745262"/>
      </font>
      <fill>
        <patternFill>
          <bgColor theme="5" tint="0.59996337778862885"/>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5" tint="-0.499984740745262"/>
      </font>
      <fill>
        <patternFill>
          <bgColor theme="5" tint="0.59996337778862885"/>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5" tint="-0.499984740745262"/>
      </font>
      <fill>
        <patternFill>
          <bgColor theme="5" tint="0.59996337778862885"/>
        </patternFill>
      </fill>
    </dxf>
    <dxf>
      <font>
        <color rgb="FF9C0006"/>
      </font>
      <fill>
        <patternFill>
          <bgColor rgb="FFFFC7CE"/>
        </patternFill>
      </fill>
    </dxf>
    <dxf>
      <numFmt numFmtId="7" formatCode="#,##0.00_);\(#,##0.00\)"/>
    </dxf>
    <dxf>
      <numFmt numFmtId="165" formatCode="_-[$₦-466]\ * #,##0.00_-;\-[$₦-466]\ * #,##0.00_-;_-[$₦-466]\ *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4" formatCode="0.00%"/>
    </dxf>
    <dxf>
      <numFmt numFmtId="165" formatCode="_-[$₦-466]\ * #,##0.00_-;\-[$₦-466]\ * #,##0.00_-;_-[$₦-466]\ * &quot;-&quot;??_-;_-@_-"/>
    </dxf>
    <dxf>
      <numFmt numFmtId="165" formatCode="_-[$₦-466]\ * #,##0.00_-;\-[$₦-466]\ * #,##0.00_-;_-[$₦-466]\ * &quot;-&quot;??_-;_-@_-"/>
    </dxf>
    <dxf>
      <numFmt numFmtId="165" formatCode="_-[$₦-466]\ * #,##0.00_-;\-[$₦-466]\ * #,##0.00_-;_-[$₦-466]\ * &quot;-&quot;??_-;_-@_-"/>
    </dxf>
    <dxf>
      <numFmt numFmtId="165" formatCode="_-[$₦-466]\ * #,##0.00_-;\-[$₦-466]\ * #,##0.00_-;_-[$₦-466]\ * &quot;-&quot;??_-;_-@_-"/>
    </dxf>
    <dxf>
      <numFmt numFmtId="165" formatCode="_-[$₦-466]\ * #,##0.00_-;\-[$₦-466]\ * #,##0.00_-;_-[$₦-466]\ * &quot;-&quot;??_-;_-@_-"/>
    </dxf>
    <dxf>
      <numFmt numFmtId="165" formatCode="_-[$₦-466]\ * #,##0.00_-;\-[$₦-466]\ * #,##0.00_-;_-[$₦-466]\ * &quot;-&quot;??_-;_-@_-"/>
    </dxf>
    <dxf>
      <numFmt numFmtId="165" formatCode="_-[$₦-466]\ * #,##0.00_-;\-[$₦-466]\ * #,##0.00_-;_-[$₦-466]\ * &quot;-&quot;??_-;_-@_-"/>
    </dxf>
    <dxf>
      <numFmt numFmtId="165" formatCode="_-[$₦-466]\ * #,##0.00_-;\-[$₦-466]\ * #,##0.00_-;_-[$₦-466]\ * &quot;-&quot;??_-;_-@_-"/>
    </dxf>
    <dxf>
      <numFmt numFmtId="165" formatCode="_-[$₦-466]\ * #,##0.00_-;\-[$₦-466]\ * #,##0.00_-;_-[$₦-466]\ * &quot;-&quot;??_-;_-@_-"/>
    </dxf>
    <dxf>
      <numFmt numFmtId="165" formatCode="_-[$₦-466]\ * #,##0.00_-;\-[$₦-466]\ * #,##0.00_-;_-[$₦-466]\ * &quot;-&quot;??_-;_-@_-"/>
    </dxf>
    <dxf>
      <numFmt numFmtId="165" formatCode="_-[$₦-466]\ * #,##0.00_-;\-[$₦-466]\ * #,##0.00_-;_-[$₦-466]\ * &quot;-&quot;??_-;_-@_-"/>
    </dxf>
    <dxf>
      <numFmt numFmtId="165" formatCode="_-[$₦-466]\ * #,##0.00_-;\-[$₦-466]\ * #,##0.00_-;_-[$₦-466]\ * &quot;-&quot;??_-;_-@_-"/>
    </dxf>
    <dxf>
      <numFmt numFmtId="165" formatCode="_-[$₦-466]\ * #,##0.00_-;\-[$₦-466]\ * #,##0.00_-;_-[$₦-466]\ * &quot;-&quot;??_-;_-@_-"/>
    </dxf>
    <dxf>
      <numFmt numFmtId="165" formatCode="_-[$₦-466]\ * #,##0.00_-;\-[$₦-466]\ * #,##0.00_-;_-[$₦-466]\ * &quot;-&quot;??_-;_-@_-"/>
    </dxf>
    <dxf>
      <numFmt numFmtId="165" formatCode="_-[$₦-466]\ * #,##0.00_-;\-[$₦-466]\ * #,##0.00_-;_-[$₦-466]\ * &quot;-&quot;??_-;_-@_-"/>
    </dxf>
    <dxf>
      <font>
        <b/>
        <i val="0"/>
        <sz val="16"/>
        <color theme="0"/>
      </font>
      <fill>
        <patternFill>
          <bgColor rgb="FF4B71D6"/>
        </patternFill>
      </fill>
      <border>
        <left style="thin">
          <color auto="1"/>
        </left>
        <right style="thin">
          <color auto="1"/>
        </right>
        <top style="thin">
          <color auto="1"/>
        </top>
        <bottom style="thin">
          <color auto="1"/>
        </bottom>
      </border>
    </dxf>
    <dxf>
      <font>
        <sz val="12"/>
      </font>
      <fill>
        <patternFill>
          <fgColor theme="3" tint="0.79992065187536243"/>
          <bgColor rgb="FFE7F1F9"/>
        </patternFill>
      </fill>
      <border diagonalUp="0" diagonalDown="0">
        <left/>
        <right/>
        <top/>
        <bottom/>
        <vertical/>
        <horizontal/>
      </border>
    </dxf>
    <dxf>
      <fill>
        <patternFill>
          <bgColor theme="3" tint="0.89996032593768116"/>
        </patternFill>
      </fill>
    </dxf>
    <dxf>
      <fill>
        <patternFill>
          <bgColor rgb="FF4B71D6"/>
        </patternFill>
      </fill>
    </dxf>
    <dxf>
      <fill>
        <patternFill>
          <bgColor rgb="FF4B71D6"/>
        </patternFill>
      </fill>
    </dxf>
  </dxfs>
  <tableStyles count="2" defaultTableStyle="TableStyleMedium2" defaultPivotStyle="PivotStyleLight16">
    <tableStyle name="Drugstoc" pivot="0" count="3" xr9:uid="{DEBEAA31-C51A-4709-BBA3-46EB770F55E0}">
      <tableStyleElement type="headerRow" dxfId="227"/>
      <tableStyleElement type="totalRow" dxfId="226"/>
      <tableStyleElement type="firstRowStripe" dxfId="225"/>
    </tableStyle>
    <tableStyle name="DRUGSTOCSLICER" pivot="0" table="0" count="5" xr9:uid="{6311C258-364B-4D6B-A48D-3422957EE274}">
      <tableStyleElement type="wholeTable" dxfId="224"/>
      <tableStyleElement type="headerRow" dxfId="223"/>
    </tableStyle>
  </tableStyles>
  <colors>
    <mruColors>
      <color rgb="FFE7F1F9"/>
      <color rgb="FF4B71D6"/>
      <color rgb="FF00C400"/>
    </mruColors>
  </colors>
  <extLst>
    <ext xmlns:x14="http://schemas.microsoft.com/office/spreadsheetml/2009/9/main" uri="{46F421CA-312F-682f-3DD2-61675219B42D}">
      <x14:dxfs count="3">
        <dxf>
          <fill>
            <patternFill>
              <bgColor theme="4" tint="0.79998168889431442"/>
            </patternFill>
          </fill>
        </dxf>
        <dxf>
          <font>
            <color theme="0"/>
          </font>
          <fill>
            <patternFill>
              <bgColor rgb="FF4B71D6"/>
            </patternFill>
          </fill>
        </dxf>
        <dxf>
          <fill>
            <patternFill>
              <bgColor theme="0" tint="-4.9989318521683403E-2"/>
            </patternFill>
          </fill>
        </dxf>
      </x14:dxfs>
    </ext>
    <ext xmlns:x14="http://schemas.microsoft.com/office/spreadsheetml/2009/9/main" uri="{EB79DEF2-80B8-43e5-95BD-54CBDDF9020C}">
      <x14:slicerStyles defaultSlicerStyle="SlicerStyleLight1">
        <x14:slicerStyle name="DRUGSTOCSLICER">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1.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8.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9.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0.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accent1"/>
            </a:solidFill>
            <a:ln>
              <a:noFill/>
            </a:ln>
          </c:spPr>
          <c:dPt>
            <c:idx val="0"/>
            <c:bubble3D val="0"/>
            <c:spPr>
              <a:solidFill>
                <a:srgbClr val="00C400"/>
              </a:solidFill>
              <a:ln w="19050">
                <a:noFill/>
              </a:ln>
              <a:effectLst/>
            </c:spPr>
            <c:extLst>
              <c:ext xmlns:c16="http://schemas.microsoft.com/office/drawing/2014/chart" uri="{C3380CC4-5D6E-409C-BE32-E72D297353CC}">
                <c16:uniqueId val="{00000001-B26A-4A0B-B887-710D3FA7CE7F}"/>
              </c:ext>
            </c:extLst>
          </c:dPt>
          <c:dPt>
            <c:idx val="1"/>
            <c:bubble3D val="0"/>
            <c:spPr>
              <a:solidFill>
                <a:srgbClr val="4B71D6"/>
              </a:solidFill>
              <a:ln w="19050">
                <a:noFill/>
              </a:ln>
              <a:effectLst/>
            </c:spPr>
            <c:extLst>
              <c:ext xmlns:c16="http://schemas.microsoft.com/office/drawing/2014/chart" uri="{C3380CC4-5D6E-409C-BE32-E72D297353CC}">
                <c16:uniqueId val="{00000003-B26A-4A0B-B887-710D3FA7CE7F}"/>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'Submitted vs Paid'!$A$7:$A$8</c:f>
              <c:strCache>
                <c:ptCount val="2"/>
                <c:pt idx="0">
                  <c:v>Sum of Cash Received (₦)</c:v>
                </c:pt>
                <c:pt idx="1">
                  <c:v>Sum of Outstanding Balance (₦)</c:v>
                </c:pt>
              </c:strCache>
            </c:strRef>
          </c:cat>
          <c:val>
            <c:numRef>
              <c:f>'Submitted vs Paid'!$B$7:$B$8</c:f>
              <c:numCache>
                <c:formatCode>General</c:formatCode>
                <c:ptCount val="2"/>
                <c:pt idx="0">
                  <c:v>137777974.59999996</c:v>
                </c:pt>
                <c:pt idx="1">
                  <c:v>43829243.75</c:v>
                </c:pt>
              </c:numCache>
            </c:numRef>
          </c:val>
          <c:extLst>
            <c:ext xmlns:c16="http://schemas.microsoft.com/office/drawing/2014/chart" uri="{C3380CC4-5D6E-409C-BE32-E72D297353CC}">
              <c16:uniqueId val="{00000004-B26A-4A0B-B887-710D3FA7CE7F}"/>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[Novatech Gadget Sales Dashboard.xlsx]Total Cash Received by Month!PivotTable36</c:name>
    <c:fmtId val="7"/>
  </c:pivotSource>
  <c:chart>
    <c:autoTitleDeleted val="1"/>
    <c:pivotFmts>
      <c:pivotFmt>
        <c:idx val="0"/>
        <c:spPr>
          <a:solidFill>
            <a:srgbClr val="4B71D6"/>
          </a:solidFill>
          <a:ln>
            <a:noFill/>
          </a:ln>
          <a:effectLst/>
        </c:spPr>
        <c:marker>
          <c:symbol val="none"/>
        </c:marker>
        <c:dLbl>
          <c:idx val="0"/>
          <c:delete val="1"/>
          <c:extLst>
            <c:ext xmlns:c15="http://schemas.microsoft.com/office/drawing/2012/chart" uri="{CE6537A1-D6FC-4f65-9D91-7224C49458BB}"/>
          </c:extLst>
        </c:dLbl>
      </c:pivotFmt>
      <c:pivotFmt>
        <c:idx val="1"/>
        <c:spPr>
          <a:solidFill>
            <a:srgbClr val="4B71D6"/>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4B71D6"/>
          </a:solidFill>
          <a:ln>
            <a:noFill/>
          </a:ln>
          <a:effectLst/>
        </c:spPr>
        <c:marker>
          <c:symbol val="none"/>
        </c:marker>
        <c:dLbl>
          <c:idx val="0"/>
          <c:delete val="1"/>
          <c:extLst>
            <c:ext xmlns:c15="http://schemas.microsoft.com/office/drawing/2012/chart" uri="{CE6537A1-D6FC-4f65-9D91-7224C49458BB}"/>
          </c:extLst>
        </c:dLbl>
      </c:pivotFmt>
      <c:pivotFmt>
        <c:idx val="3"/>
        <c:spPr>
          <a:solidFill>
            <a:srgbClr val="4B71D6"/>
          </a:solidFill>
          <a:ln>
            <a:noFill/>
          </a:ln>
          <a:effectLst/>
        </c:spPr>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'Total Cash Received by Month'!$B$3</c:f>
              <c:strCache>
                <c:ptCount val="1"/>
                <c:pt idx="0">
                  <c:v>Total</c:v>
                </c:pt>
              </c:strCache>
            </c:strRef>
          </c:tx>
          <c:invertIfNegative val="0"/>
          <c:cat>
            <c:strRef>
              <c:f>'Total Cash Received by Month'!$A$4:$A$15</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'Total Cash Received by Month'!$B$4:$B$15</c:f>
              <c:numCache>
                <c:formatCode>_-[$₦-466]\ * #,##0.00_-;\-[$₦-466]\ * #,##0.00_-;_-[$₦-466]\ * "-"??_-;_-@_-</c:formatCode>
                <c:ptCount val="11"/>
                <c:pt idx="0">
                  <c:v>17006390.5</c:v>
                </c:pt>
                <c:pt idx="1">
                  <c:v>19812124.649999999</c:v>
                </c:pt>
                <c:pt idx="2">
                  <c:v>10374403.950000001</c:v>
                </c:pt>
                <c:pt idx="3">
                  <c:v>10523383.950000001</c:v>
                </c:pt>
                <c:pt idx="4">
                  <c:v>13279593.800000001</c:v>
                </c:pt>
                <c:pt idx="5">
                  <c:v>15402193.25</c:v>
                </c:pt>
                <c:pt idx="6">
                  <c:v>8592654</c:v>
                </c:pt>
                <c:pt idx="7">
                  <c:v>25712203.550000001</c:v>
                </c:pt>
                <c:pt idx="8">
                  <c:v>1591542.25</c:v>
                </c:pt>
                <c:pt idx="9">
                  <c:v>7456081.5999999996</c:v>
                </c:pt>
                <c:pt idx="10">
                  <c:v>8027403.0999999996</c:v>
                </c:pt>
              </c:numCache>
            </c:numRef>
          </c:val>
          <c:extLst>
            <c:ext xmlns:c16="http://schemas.microsoft.com/office/drawing/2014/chart" uri="{C3380CC4-5D6E-409C-BE32-E72D297353CC}">
              <c16:uniqueId val="{00000001-A291-4B3E-B9DA-4BF4DECCAF30}"/>
            </c:ext>
          </c:extLst>
        </c:ser>
        <c:dLbls>
          <c:showLegendKey val="0"/>
          <c:showVal val="0"/>
          <c:showCatName val="0"/>
          <c:showSerName val="0"/>
          <c:showPercent val="0"/>
          <c:showBubbleSize val="0"/>
        </c:dLbls>
        <c:gapWidth val="219"/>
        <c:overlap val="-27"/>
        <c:axId val="417362751"/>
        <c:axId val="417361503"/>
      </c:barChart>
      <c:catAx>
        <c:axId val="417362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361503"/>
        <c:crosses val="autoZero"/>
        <c:auto val="1"/>
        <c:lblAlgn val="ctr"/>
        <c:lblOffset val="100"/>
        <c:noMultiLvlLbl val="0"/>
      </c:catAx>
      <c:valAx>
        <c:axId val="417361503"/>
        <c:scaling>
          <c:orientation val="minMax"/>
        </c:scaling>
        <c:delete val="0"/>
        <c:axPos val="l"/>
        <c:numFmt formatCode="_-[$₦-466]\ * #,##0.00_-;\-[$₦-466]\ * #,##0.00_-;_-[$₦-466]\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362751"/>
        <c:crosses val="autoZero"/>
        <c:crossBetween val="between"/>
      </c:valAx>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[Novatech Gadget Sales Dashboard.xlsx]Total Cash Received by Month!PivotTable36</c:name>
    <c:fmtId val="6"/>
  </c:pivotSource>
  <c:chart>
    <c:autoTitleDeleted val="1"/>
    <c:pivotFmts>
      <c:pivotFmt>
        <c:idx val="0"/>
        <c:spPr>
          <a:solidFill>
            <a:schemeClr val="accent1"/>
          </a:solidFill>
          <a:ln w="28575" cap="rnd">
            <a:solidFill>
              <a:srgbClr val="00C400"/>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rgbClr val="00C400"/>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rgbClr val="00C400"/>
            </a:solidFill>
            <a:round/>
          </a:ln>
          <a:effectLst/>
        </c:spPr>
        <c:marker>
          <c:symbol val="none"/>
        </c:marker>
        <c:dLbl>
          <c:idx val="0"/>
          <c:delete val="1"/>
          <c:extLst>
            <c:ext xmlns:c15="http://schemas.microsoft.com/office/drawing/2012/chart" uri="{CE6537A1-D6FC-4f65-9D91-7224C49458BB}"/>
          </c:extLst>
        </c:dLbl>
      </c:pivotFmt>
      <c:pivotFmt>
        <c:idx val="3"/>
        <c:spPr>
          <a:ln>
            <a:solidFill>
              <a:srgbClr val="00C400"/>
            </a:solidFill>
          </a:ln>
        </c:spPr>
        <c:marker>
          <c:symbol val="none"/>
        </c:marker>
        <c:dLbl>
          <c:idx val="0"/>
          <c:delete val="1"/>
          <c:extLst>
            <c:ext xmlns:c15="http://schemas.microsoft.com/office/drawing/2012/chart" uri="{CE6537A1-D6FC-4f65-9D91-7224C49458BB}"/>
          </c:extLst>
        </c:dLbl>
      </c:pivotFmt>
      <c:pivotFmt>
        <c:idx val="4"/>
        <c:dLbl>
          <c:idx val="0"/>
          <c:delete val="1"/>
          <c:extLst>
            <c:ext xmlns:c15="http://schemas.microsoft.com/office/drawing/2012/chart" uri="{CE6537A1-D6FC-4f65-9D91-7224C49458BB}"/>
          </c:extLst>
        </c:dLbl>
      </c:pivotFmt>
    </c:pivotFmts>
    <c:plotArea>
      <c:layout/>
      <c:lineChart>
        <c:grouping val="standard"/>
        <c:varyColors val="0"/>
        <c:ser>
          <c:idx val="0"/>
          <c:order val="0"/>
          <c:tx>
            <c:strRef>
              <c:f>'Total Cash Received by Month'!$B$3</c:f>
              <c:strCache>
                <c:ptCount val="1"/>
                <c:pt idx="0">
                  <c:v>Total</c:v>
                </c:pt>
              </c:strCache>
            </c:strRef>
          </c:tx>
          <c:cat>
            <c:strRef>
              <c:f>'Total Cash Received by Month'!$A$4:$A$15</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'Total Cash Received by Month'!$B$4:$B$15</c:f>
              <c:numCache>
                <c:formatCode>_-[$₦-466]\ * #,##0.00_-;\-[$₦-466]\ * #,##0.00_-;_-[$₦-466]\ * "-"??_-;_-@_-</c:formatCode>
                <c:ptCount val="11"/>
                <c:pt idx="0">
                  <c:v>17006390.5</c:v>
                </c:pt>
                <c:pt idx="1">
                  <c:v>19812124.649999999</c:v>
                </c:pt>
                <c:pt idx="2">
                  <c:v>10374403.950000001</c:v>
                </c:pt>
                <c:pt idx="3">
                  <c:v>10523383.950000001</c:v>
                </c:pt>
                <c:pt idx="4">
                  <c:v>13279593.800000001</c:v>
                </c:pt>
                <c:pt idx="5">
                  <c:v>15402193.25</c:v>
                </c:pt>
                <c:pt idx="6">
                  <c:v>8592654</c:v>
                </c:pt>
                <c:pt idx="7">
                  <c:v>25712203.550000001</c:v>
                </c:pt>
                <c:pt idx="8">
                  <c:v>1591542.25</c:v>
                </c:pt>
                <c:pt idx="9">
                  <c:v>7456081.5999999996</c:v>
                </c:pt>
                <c:pt idx="10">
                  <c:v>8027403.0999999996</c:v>
                </c:pt>
              </c:numCache>
            </c:numRef>
          </c:val>
          <c:smooth val="0"/>
          <c:extLst>
            <c:ext xmlns:c16="http://schemas.microsoft.com/office/drawing/2014/chart" uri="{C3380CC4-5D6E-409C-BE32-E72D297353CC}">
              <c16:uniqueId val="{00000001-EABF-487D-8CFF-2313F6D30CC7}"/>
            </c:ext>
          </c:extLst>
        </c:ser>
        <c:dLbls>
          <c:showLegendKey val="0"/>
          <c:showVal val="0"/>
          <c:showCatName val="0"/>
          <c:showSerName val="0"/>
          <c:showPercent val="0"/>
          <c:showBubbleSize val="0"/>
        </c:dLbls>
        <c:marker val="1"/>
        <c:smooth val="0"/>
        <c:axId val="2003403871"/>
        <c:axId val="2003401791"/>
      </c:lineChart>
      <c:catAx>
        <c:axId val="2003403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401791"/>
        <c:crosses val="autoZero"/>
        <c:auto val="1"/>
        <c:lblAlgn val="ctr"/>
        <c:lblOffset val="100"/>
        <c:noMultiLvlLbl val="0"/>
      </c:catAx>
      <c:valAx>
        <c:axId val="2003401791"/>
        <c:scaling>
          <c:orientation val="minMax"/>
        </c:scaling>
        <c:delete val="0"/>
        <c:axPos val="l"/>
        <c:numFmt formatCode="_-[$₦-466]\ * #,##0.00_-;\-[$₦-466]\ * #,##0.00_-;_-[$₦-466]\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403871"/>
        <c:crosses val="autoZero"/>
        <c:crossBetween val="between"/>
      </c:valAx>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[Novatech Gadget Sales Dashboard.xlsx]Cash Recieved vs Outst. By Clie!PivotTable36</c:name>
    <c:fmtId val="15"/>
  </c:pivotSource>
  <c:chart>
    <c:autoTitleDeleted val="0"/>
    <c:pivotFmts>
      <c:pivotFmt>
        <c:idx val="0"/>
        <c:spPr>
          <a:solidFill>
            <a:srgbClr val="4B71D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C4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4B71D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C4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4B71D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C4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4B71D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C400"/>
          </a:solidFill>
          <a:ln>
            <a:noFill/>
          </a:ln>
          <a:effectLst/>
        </c:spPr>
      </c:pivotFmt>
      <c:pivotFmt>
        <c:idx val="11"/>
        <c:spPr>
          <a:solidFill>
            <a:srgbClr val="00C400"/>
          </a:solidFill>
          <a:ln>
            <a:noFill/>
          </a:ln>
          <a:effectLst/>
        </c:spPr>
      </c:pivotFmt>
      <c:pivotFmt>
        <c:idx val="12"/>
        <c:spPr>
          <a:solidFill>
            <a:srgbClr val="00C400"/>
          </a:solidFill>
          <a:ln>
            <a:noFill/>
          </a:ln>
          <a:effectLst/>
        </c:spPr>
      </c:pivotFmt>
      <c:pivotFmt>
        <c:idx val="13"/>
        <c:spPr>
          <a:solidFill>
            <a:srgbClr val="00C400"/>
          </a:solidFill>
          <a:ln>
            <a:noFill/>
          </a:ln>
          <a:effectLst/>
        </c:spPr>
      </c:pivotFmt>
      <c:pivotFmt>
        <c:idx val="14"/>
        <c:spPr>
          <a:solidFill>
            <a:srgbClr val="00C400"/>
          </a:solidFill>
          <a:ln>
            <a:noFill/>
          </a:ln>
          <a:effectLst/>
        </c:spPr>
      </c:pivotFmt>
      <c:pivotFmt>
        <c:idx val="15"/>
        <c:spPr>
          <a:solidFill>
            <a:srgbClr val="00C400"/>
          </a:solidFill>
          <a:ln>
            <a:noFill/>
          </a:ln>
          <a:effectLst/>
        </c:spPr>
      </c:pivotFmt>
      <c:pivotFmt>
        <c:idx val="16"/>
        <c:spPr>
          <a:solidFill>
            <a:srgbClr val="00C400"/>
          </a:solidFill>
          <a:ln>
            <a:noFill/>
          </a:ln>
          <a:effectLst/>
        </c:spPr>
      </c:pivotFmt>
      <c:pivotFmt>
        <c:idx val="17"/>
      </c:pivotFmt>
      <c:pivotFmt>
        <c:idx val="18"/>
        <c:spPr>
          <a:solidFill>
            <a:srgbClr val="00C400"/>
          </a:solidFill>
          <a:ln>
            <a:noFill/>
          </a:ln>
          <a:effectLst/>
        </c:spPr>
      </c:pivotFmt>
      <c:pivotFmt>
        <c:idx val="19"/>
        <c:spPr>
          <a:solidFill>
            <a:srgbClr val="4B71D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00C4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2767853667763"/>
          <c:y val="5.0925925925925923E-2"/>
          <c:w val="0.74958248634519697"/>
          <c:h val="0.87735525203314846"/>
        </c:manualLayout>
      </c:layout>
      <c:barChart>
        <c:barDir val="bar"/>
        <c:grouping val="percentStacked"/>
        <c:varyColors val="0"/>
        <c:ser>
          <c:idx val="0"/>
          <c:order val="0"/>
          <c:tx>
            <c:strRef>
              <c:f>'Cash Recieved vs Outst. By Clie'!$B$3</c:f>
              <c:strCache>
                <c:ptCount val="1"/>
                <c:pt idx="0">
                  <c:v>Sum of % PAID</c:v>
                </c:pt>
              </c:strCache>
            </c:strRef>
          </c:tx>
          <c:spPr>
            <a:solidFill>
              <a:srgbClr val="4B71D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'Cash Recieved vs Outst. By Clie'!$A$4:$A$17</c:f>
              <c:strCache>
                <c:ptCount val="13"/>
                <c:pt idx="0">
                  <c:v>BluePeak Gadgets Ltd</c:v>
                </c:pt>
                <c:pt idx="1">
                  <c:v>BrightCell Retailers</c:v>
                </c:pt>
                <c:pt idx="2">
                  <c:v>Chike &amp; Sons Accessories</c:v>
                </c:pt>
                <c:pt idx="3">
                  <c:v>CoreLink Technologies</c:v>
                </c:pt>
                <c:pt idx="4">
                  <c:v>FlashPoint Accessories</c:v>
                </c:pt>
                <c:pt idx="5">
                  <c:v>IronGate Gadgets</c:v>
                </c:pt>
                <c:pt idx="6">
                  <c:v>NovaStreet Phones</c:v>
                </c:pt>
                <c:pt idx="7">
                  <c:v>PulseHub Electronics</c:v>
                </c:pt>
                <c:pt idx="8">
                  <c:v>SignalPro Devices</c:v>
                </c:pt>
                <c:pt idx="9">
                  <c:v>Skyline Mobile Mart</c:v>
                </c:pt>
                <c:pt idx="10">
                  <c:v>UrbanWave Mobiles</c:v>
                </c:pt>
                <c:pt idx="11">
                  <c:v>Vertex Phone Stores</c:v>
                </c:pt>
                <c:pt idx="12">
                  <c:v>luePeak Gadgets Ltd</c:v>
                </c:pt>
              </c:strCache>
            </c:strRef>
          </c:cat>
          <c:val>
            <c:numRef>
              <c:f>'Cash Recieved vs Outst. By Clie'!$B$4:$B$17</c:f>
              <c:numCache>
                <c:formatCode>0.00%</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0-69BA-45B2-90BB-281194B792AB}"/>
            </c:ext>
          </c:extLst>
        </c:ser>
        <c:ser>
          <c:idx val="1"/>
          <c:order val="1"/>
          <c:tx>
            <c:strRef>
              <c:f>'Cash Recieved vs Outst. By Clie'!$C$3</c:f>
              <c:strCache>
                <c:ptCount val="1"/>
                <c:pt idx="0">
                  <c:v>Sum of Outstanding Balance (₦)</c:v>
                </c:pt>
              </c:strCache>
            </c:strRef>
          </c:tx>
          <c:spPr>
            <a:solidFill>
              <a:srgbClr val="4B71D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'Cash Recieved vs Outst. By Clie'!$A$4:$A$17</c:f>
              <c:strCache>
                <c:ptCount val="13"/>
                <c:pt idx="0">
                  <c:v>BluePeak Gadgets Ltd</c:v>
                </c:pt>
                <c:pt idx="1">
                  <c:v>BrightCell Retailers</c:v>
                </c:pt>
                <c:pt idx="2">
                  <c:v>Chike &amp; Sons Accessories</c:v>
                </c:pt>
                <c:pt idx="3">
                  <c:v>CoreLink Technologies</c:v>
                </c:pt>
                <c:pt idx="4">
                  <c:v>FlashPoint Accessories</c:v>
                </c:pt>
                <c:pt idx="5">
                  <c:v>IronGate Gadgets</c:v>
                </c:pt>
                <c:pt idx="6">
                  <c:v>NovaStreet Phones</c:v>
                </c:pt>
                <c:pt idx="7">
                  <c:v>PulseHub Electronics</c:v>
                </c:pt>
                <c:pt idx="8">
                  <c:v>SignalPro Devices</c:v>
                </c:pt>
                <c:pt idx="9">
                  <c:v>Skyline Mobile Mart</c:v>
                </c:pt>
                <c:pt idx="10">
                  <c:v>UrbanWave Mobiles</c:v>
                </c:pt>
                <c:pt idx="11">
                  <c:v>Vertex Phone Stores</c:v>
                </c:pt>
                <c:pt idx="12">
                  <c:v>luePeak Gadgets Ltd</c:v>
                </c:pt>
              </c:strCache>
            </c:strRef>
          </c:cat>
          <c:val>
            <c:numRef>
              <c:f>'Cash Recieved vs Outst. By Clie'!$C$4:$C$17</c:f>
              <c:numCache>
                <c:formatCode>General</c:formatCode>
                <c:ptCount val="13"/>
                <c:pt idx="0">
                  <c:v>14063213.699999999</c:v>
                </c:pt>
                <c:pt idx="1">
                  <c:v>25480.6</c:v>
                </c:pt>
                <c:pt idx="2">
                  <c:v>95000.099999999977</c:v>
                </c:pt>
                <c:pt idx="3">
                  <c:v>3629984.2</c:v>
                </c:pt>
                <c:pt idx="4">
                  <c:v>3339533.9499999997</c:v>
                </c:pt>
                <c:pt idx="5">
                  <c:v>3871633.25</c:v>
                </c:pt>
                <c:pt idx="6">
                  <c:v>8499283.5</c:v>
                </c:pt>
                <c:pt idx="7">
                  <c:v>142241.24999999988</c:v>
                </c:pt>
                <c:pt idx="8">
                  <c:v>4970130.0999999996</c:v>
                </c:pt>
                <c:pt idx="9">
                  <c:v>565000.15</c:v>
                </c:pt>
                <c:pt idx="10">
                  <c:v>30930.75</c:v>
                </c:pt>
                <c:pt idx="11">
                  <c:v>4581682.05</c:v>
                </c:pt>
                <c:pt idx="12">
                  <c:v>15130.150000000023</c:v>
                </c:pt>
              </c:numCache>
            </c:numRef>
          </c:val>
          <c:extLst>
            <c:ext xmlns:c16="http://schemas.microsoft.com/office/drawing/2014/chart" uri="{C3380CC4-5D6E-409C-BE32-E72D297353CC}">
              <c16:uniqueId val="{00000001-3E26-4199-AA16-B075E4922A27}"/>
            </c:ext>
          </c:extLst>
        </c:ser>
        <c:ser>
          <c:idx val="2"/>
          <c:order val="2"/>
          <c:tx>
            <c:strRef>
              <c:f>'Cash Recieved vs Outst. By Clie'!$D$3</c:f>
              <c:strCache>
                <c:ptCount val="1"/>
                <c:pt idx="0">
                  <c:v>Sum of Cash Received (₦)</c:v>
                </c:pt>
              </c:strCache>
            </c:strRef>
          </c:tx>
          <c:spPr>
            <a:solidFill>
              <a:srgbClr val="00C4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'Cash Recieved vs Outst. By Clie'!$A$4:$A$17</c:f>
              <c:strCache>
                <c:ptCount val="13"/>
                <c:pt idx="0">
                  <c:v>BluePeak Gadgets Ltd</c:v>
                </c:pt>
                <c:pt idx="1">
                  <c:v>BrightCell Retailers</c:v>
                </c:pt>
                <c:pt idx="2">
                  <c:v>Chike &amp; Sons Accessories</c:v>
                </c:pt>
                <c:pt idx="3">
                  <c:v>CoreLink Technologies</c:v>
                </c:pt>
                <c:pt idx="4">
                  <c:v>FlashPoint Accessories</c:v>
                </c:pt>
                <c:pt idx="5">
                  <c:v>IronGate Gadgets</c:v>
                </c:pt>
                <c:pt idx="6">
                  <c:v>NovaStreet Phones</c:v>
                </c:pt>
                <c:pt idx="7">
                  <c:v>PulseHub Electronics</c:v>
                </c:pt>
                <c:pt idx="8">
                  <c:v>SignalPro Devices</c:v>
                </c:pt>
                <c:pt idx="9">
                  <c:v>Skyline Mobile Mart</c:v>
                </c:pt>
                <c:pt idx="10">
                  <c:v>UrbanWave Mobiles</c:v>
                </c:pt>
                <c:pt idx="11">
                  <c:v>Vertex Phone Stores</c:v>
                </c:pt>
                <c:pt idx="12">
                  <c:v>luePeak Gadgets Ltd</c:v>
                </c:pt>
              </c:strCache>
            </c:strRef>
          </c:cat>
          <c:val>
            <c:numRef>
              <c:f>'Cash Recieved vs Outst. By Clie'!$D$4:$D$17</c:f>
              <c:numCache>
                <c:formatCode>General</c:formatCode>
                <c:ptCount val="13"/>
                <c:pt idx="0">
                  <c:v>17764883.100000001</c:v>
                </c:pt>
                <c:pt idx="1">
                  <c:v>153281.60000000001</c:v>
                </c:pt>
                <c:pt idx="2">
                  <c:v>325480.5</c:v>
                </c:pt>
                <c:pt idx="3">
                  <c:v>1735162.0999999996</c:v>
                </c:pt>
                <c:pt idx="4">
                  <c:v>991520.7</c:v>
                </c:pt>
                <c:pt idx="5">
                  <c:v>12301834.850000001</c:v>
                </c:pt>
                <c:pt idx="6">
                  <c:v>11124183.950000001</c:v>
                </c:pt>
                <c:pt idx="7">
                  <c:v>5330524.6500000004</c:v>
                </c:pt>
                <c:pt idx="8">
                  <c:v>81029984.900000006</c:v>
                </c:pt>
                <c:pt idx="9">
                  <c:v>125480.6</c:v>
                </c:pt>
                <c:pt idx="10">
                  <c:v>373742.95</c:v>
                </c:pt>
                <c:pt idx="11">
                  <c:v>6226574.1000000006</c:v>
                </c:pt>
                <c:pt idx="12">
                  <c:v>295320.59999999998</c:v>
                </c:pt>
              </c:numCache>
            </c:numRef>
          </c:val>
          <c:extLst>
            <c:ext xmlns:c16="http://schemas.microsoft.com/office/drawing/2014/chart" uri="{C3380CC4-5D6E-409C-BE32-E72D297353CC}">
              <c16:uniqueId val="{00000002-3E26-4199-AA16-B075E4922A27}"/>
            </c:ext>
          </c:extLst>
        </c:ser>
        <c:dLbls>
          <c:dLblPos val="ctr"/>
          <c:showLegendKey val="0"/>
          <c:showVal val="1"/>
          <c:showCatName val="0"/>
          <c:showSerName val="0"/>
          <c:showPercent val="0"/>
          <c:showBubbleSize val="0"/>
        </c:dLbls>
        <c:gapWidth val="62"/>
        <c:overlap val="100"/>
        <c:axId val="962735615"/>
        <c:axId val="962738111"/>
      </c:barChart>
      <c:catAx>
        <c:axId val="962735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738111"/>
        <c:crosses val="autoZero"/>
        <c:auto val="1"/>
        <c:lblAlgn val="ctr"/>
        <c:lblOffset val="100"/>
        <c:noMultiLvlLbl val="0"/>
      </c:catAx>
      <c:valAx>
        <c:axId val="96273811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735615"/>
        <c:crosses val="autoZero"/>
        <c:crossBetween val="between"/>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[Novatech Gadget Sales Dashboard.xlsx]Cash Received vs Outstanding by!PivotTable36</c:name>
    <c:fmtId val="14"/>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rgbClr val="00C400"/>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rgbClr val="00C400"/>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rgbClr val="00C400"/>
          </a:solidFill>
          <a:ln>
            <a:noFill/>
          </a:ln>
          <a:effectLst/>
        </c:spPr>
        <c:marker>
          <c:symbol val="none"/>
        </c:marker>
        <c:dLbl>
          <c:idx val="0"/>
          <c:delete val="1"/>
          <c:extLst>
            <c:ext xmlns:c15="http://schemas.microsoft.com/office/drawing/2012/chart" uri="{CE6537A1-D6FC-4f65-9D91-7224C49458BB}"/>
          </c:extLst>
        </c:dLbl>
      </c:pivotFmt>
      <c:pivotFmt>
        <c:idx val="6"/>
        <c:spPr>
          <a:solidFill>
            <a:srgbClr val="4B71D6"/>
          </a:solidFill>
        </c:spPr>
        <c:marker>
          <c:symbol val="none"/>
        </c:marker>
        <c:dLbl>
          <c:idx val="0"/>
          <c:delete val="1"/>
          <c:extLst>
            <c:ext xmlns:c15="http://schemas.microsoft.com/office/drawing/2012/chart" uri="{CE6537A1-D6FC-4f65-9D91-7224C49458BB}"/>
          </c:extLst>
        </c:dLbl>
      </c:pivotFmt>
      <c:pivotFmt>
        <c:idx val="7"/>
        <c:spPr>
          <a:solidFill>
            <a:srgbClr val="00C400"/>
          </a:solidFill>
        </c:spPr>
        <c:marker>
          <c:symbol val="none"/>
        </c:marker>
        <c:dLbl>
          <c:idx val="0"/>
          <c:delete val="1"/>
          <c:extLst>
            <c:ext xmlns:c15="http://schemas.microsoft.com/office/drawing/2012/chart" uri="{CE6537A1-D6FC-4f65-9D91-7224C49458BB}"/>
          </c:extLst>
        </c:dLbl>
      </c:pivotFmt>
      <c:pivotFmt>
        <c:idx val="8"/>
        <c:spPr>
          <a:solidFill>
            <a:srgbClr val="4B71D6"/>
          </a:solidFill>
        </c:spPr>
        <c:marker>
          <c:symbol val="none"/>
        </c:marker>
        <c:dLbl>
          <c:idx val="0"/>
          <c:delete val="1"/>
          <c:extLst>
            <c:ext xmlns:c15="http://schemas.microsoft.com/office/drawing/2012/chart" uri="{CE6537A1-D6FC-4f65-9D91-7224C49458BB}"/>
          </c:extLst>
        </c:dLbl>
      </c:pivotFmt>
      <c:pivotFmt>
        <c:idx val="9"/>
        <c:spPr>
          <a:solidFill>
            <a:srgbClr val="00C400"/>
          </a:solidFill>
        </c:spPr>
        <c:marker>
          <c:symbol val="none"/>
        </c:marker>
        <c:dLbl>
          <c:idx val="0"/>
          <c:delete val="1"/>
          <c:extLst>
            <c:ext xmlns:c15="http://schemas.microsoft.com/office/drawing/2012/chart" uri="{CE6537A1-D6FC-4f65-9D91-7224C49458BB}"/>
          </c:extLst>
        </c:dLbl>
      </c:pivotFmt>
      <c:pivotFmt>
        <c:idx val="10"/>
        <c:spPr>
          <a:solidFill>
            <a:srgbClr val="4B71D6"/>
          </a:solidFill>
        </c:spPr>
        <c:marker>
          <c:symbol val="none"/>
        </c:marker>
        <c:dLbl>
          <c:idx val="0"/>
          <c:delete val="1"/>
          <c:extLst>
            <c:ext xmlns:c15="http://schemas.microsoft.com/office/drawing/2012/chart" uri="{CE6537A1-D6FC-4f65-9D91-7224C49458BB}"/>
          </c:extLst>
        </c:dLbl>
      </c:pivotFmt>
      <c:pivotFmt>
        <c:idx val="11"/>
        <c:spPr>
          <a:solidFill>
            <a:srgbClr val="00C400"/>
          </a:solidFill>
        </c:spPr>
        <c:marker>
          <c:symbol val="none"/>
        </c:marker>
        <c:dLbl>
          <c:idx val="0"/>
          <c:delete val="1"/>
          <c:extLst>
            <c:ext xmlns:c15="http://schemas.microsoft.com/office/drawing/2012/chart" uri="{CE6537A1-D6FC-4f65-9D91-7224C49458BB}"/>
          </c:extLst>
        </c:dLbl>
      </c:pivotFmt>
      <c:pivotFmt>
        <c:idx val="12"/>
        <c:spPr>
          <a:solidFill>
            <a:srgbClr val="4B71D6"/>
          </a:solidFill>
        </c:spPr>
        <c:marker>
          <c:symbol val="none"/>
        </c:marker>
        <c:dLbl>
          <c:idx val="0"/>
          <c:delete val="1"/>
          <c:extLst>
            <c:ext xmlns:c15="http://schemas.microsoft.com/office/drawing/2012/chart" uri="{CE6537A1-D6FC-4f65-9D91-7224C49458BB}"/>
          </c:extLst>
        </c:dLbl>
      </c:pivotFmt>
      <c:pivotFmt>
        <c:idx val="13"/>
        <c:spPr>
          <a:solidFill>
            <a:srgbClr val="00C400"/>
          </a:solidFill>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'Cash Received vs Outstanding by'!$B$3</c:f>
              <c:strCache>
                <c:ptCount val="1"/>
                <c:pt idx="0">
                  <c:v>Sum of Cash Received (₦)</c:v>
                </c:pt>
              </c:strCache>
            </c:strRef>
          </c:tx>
          <c:spPr>
            <a:solidFill>
              <a:srgbClr val="4B71D6"/>
            </a:solidFill>
          </c:spPr>
          <c:invertIfNegative val="0"/>
          <c:cat>
            <c:strRef>
              <c:f>'Cash Received vs Outstanding by'!$A$4:$A$15</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'Cash Received vs Outstanding by'!$B$4:$B$15</c:f>
              <c:numCache>
                <c:formatCode>General</c:formatCode>
                <c:ptCount val="11"/>
                <c:pt idx="0">
                  <c:v>17006390.5</c:v>
                </c:pt>
                <c:pt idx="1">
                  <c:v>19812124.649999999</c:v>
                </c:pt>
                <c:pt idx="2">
                  <c:v>10374403.950000001</c:v>
                </c:pt>
                <c:pt idx="3">
                  <c:v>10523383.950000001</c:v>
                </c:pt>
                <c:pt idx="4">
                  <c:v>13279593.800000001</c:v>
                </c:pt>
                <c:pt idx="5">
                  <c:v>15402193.25</c:v>
                </c:pt>
                <c:pt idx="6">
                  <c:v>8592654</c:v>
                </c:pt>
                <c:pt idx="7">
                  <c:v>25712203.550000001</c:v>
                </c:pt>
                <c:pt idx="8">
                  <c:v>1591542.25</c:v>
                </c:pt>
                <c:pt idx="9">
                  <c:v>7456081.5999999996</c:v>
                </c:pt>
                <c:pt idx="10">
                  <c:v>8027403.0999999996</c:v>
                </c:pt>
              </c:numCache>
            </c:numRef>
          </c:val>
          <c:extLst>
            <c:ext xmlns:c16="http://schemas.microsoft.com/office/drawing/2014/chart" uri="{C3380CC4-5D6E-409C-BE32-E72D297353CC}">
              <c16:uniqueId val="{00000001-234A-481F-BDC1-050407CE9F68}"/>
            </c:ext>
          </c:extLst>
        </c:ser>
        <c:ser>
          <c:idx val="1"/>
          <c:order val="1"/>
          <c:tx>
            <c:strRef>
              <c:f>'Cash Received vs Outstanding by'!$C$3</c:f>
              <c:strCache>
                <c:ptCount val="1"/>
                <c:pt idx="0">
                  <c:v>Sum of Outstanding Balance (₦)</c:v>
                </c:pt>
              </c:strCache>
            </c:strRef>
          </c:tx>
          <c:spPr>
            <a:solidFill>
              <a:srgbClr val="00C400"/>
            </a:solidFill>
          </c:spPr>
          <c:invertIfNegative val="0"/>
          <c:cat>
            <c:strRef>
              <c:f>'Cash Received vs Outstanding by'!$A$4:$A$15</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'Cash Received vs Outstanding by'!$C$4:$C$15</c:f>
              <c:numCache>
                <c:formatCode>General</c:formatCode>
                <c:ptCount val="11"/>
                <c:pt idx="0">
                  <c:v>0</c:v>
                </c:pt>
                <c:pt idx="1">
                  <c:v>859000.40000000072</c:v>
                </c:pt>
                <c:pt idx="2">
                  <c:v>22641.249999999964</c:v>
                </c:pt>
                <c:pt idx="3">
                  <c:v>22661.249999999964</c:v>
                </c:pt>
                <c:pt idx="4">
                  <c:v>746532</c:v>
                </c:pt>
                <c:pt idx="5">
                  <c:v>35322.049999999785</c:v>
                </c:pt>
                <c:pt idx="6">
                  <c:v>1175611.5</c:v>
                </c:pt>
                <c:pt idx="7">
                  <c:v>10471542.550000001</c:v>
                </c:pt>
                <c:pt idx="8">
                  <c:v>4418402.5</c:v>
                </c:pt>
                <c:pt idx="9">
                  <c:v>12365105.6</c:v>
                </c:pt>
                <c:pt idx="10">
                  <c:v>13712424.649999999</c:v>
                </c:pt>
              </c:numCache>
            </c:numRef>
          </c:val>
          <c:extLst>
            <c:ext xmlns:c16="http://schemas.microsoft.com/office/drawing/2014/chart" uri="{C3380CC4-5D6E-409C-BE32-E72D297353CC}">
              <c16:uniqueId val="{00000002-234A-481F-BDC1-050407CE9F68}"/>
            </c:ext>
          </c:extLst>
        </c:ser>
        <c:dLbls>
          <c:showLegendKey val="0"/>
          <c:showVal val="0"/>
          <c:showCatName val="0"/>
          <c:showSerName val="0"/>
          <c:showPercent val="0"/>
          <c:showBubbleSize val="0"/>
        </c:dLbls>
        <c:gapWidth val="219"/>
        <c:overlap val="-27"/>
        <c:axId val="1962750175"/>
        <c:axId val="1962752671"/>
      </c:barChart>
      <c:catAx>
        <c:axId val="1962750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752671"/>
        <c:crosses val="autoZero"/>
        <c:auto val="1"/>
        <c:lblAlgn val="ctr"/>
        <c:lblOffset val="100"/>
        <c:noMultiLvlLbl val="0"/>
      </c:catAx>
      <c:valAx>
        <c:axId val="19627526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750175"/>
        <c:crosses val="autoZero"/>
        <c:crossBetween val="between"/>
      </c:valAx>
      <c:spPr>
        <a:noFill/>
        <a:ln>
          <a:noFill/>
        </a:ln>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Submitted vs Paid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spPr>
            <a:solidFill>
              <a:schemeClr val="accent1"/>
            </a:solidFill>
          </c:spPr>
          <c:dPt>
            <c:idx val="0"/>
            <c:bubble3D val="0"/>
            <c:spPr>
              <a:solidFill>
                <a:srgbClr val="00C400"/>
              </a:solidFill>
              <a:ln w="19050">
                <a:solidFill>
                  <a:schemeClr val="lt1"/>
                </a:solidFill>
              </a:ln>
              <a:effectLst/>
            </c:spPr>
            <c:extLst>
              <c:ext xmlns:c16="http://schemas.microsoft.com/office/drawing/2014/chart" uri="{C3380CC4-5D6E-409C-BE32-E72D297353CC}">
                <c16:uniqueId val="{00000003-D17A-4FC3-81EB-6BB74FBCF0BA}"/>
              </c:ext>
            </c:extLst>
          </c:dPt>
          <c:dPt>
            <c:idx val="1"/>
            <c:bubble3D val="0"/>
            <c:spPr>
              <a:solidFill>
                <a:srgbClr val="4B71D6"/>
              </a:solidFill>
              <a:ln w="19050">
                <a:solidFill>
                  <a:schemeClr val="lt1"/>
                </a:solidFill>
              </a:ln>
              <a:effectLst/>
            </c:spPr>
            <c:extLst>
              <c:ext xmlns:c16="http://schemas.microsoft.com/office/drawing/2014/chart" uri="{C3380CC4-5D6E-409C-BE32-E72D297353CC}">
                <c16:uniqueId val="{00000002-D17A-4FC3-81EB-6BB74FBCF0BA}"/>
              </c:ext>
            </c:extLst>
          </c:dPt>
          <c:dLbls>
            <c:dLbl>
              <c:idx val="0"/>
              <c:layout>
                <c:manualLayout>
                  <c:x val="-0.13030116779348494"/>
                  <c:y val="8.510638297872340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17A-4FC3-81EB-6BB74FBCF0BA}"/>
                </c:ext>
              </c:extLst>
            </c:dLbl>
            <c:dLbl>
              <c:idx val="1"/>
              <c:delete val="1"/>
              <c:extLst>
                <c:ext xmlns:c15="http://schemas.microsoft.com/office/drawing/2012/chart" uri="{CE6537A1-D6FC-4f65-9D91-7224C49458BB}"/>
                <c:ext xmlns:c16="http://schemas.microsoft.com/office/drawing/2014/chart" uri="{C3380CC4-5D6E-409C-BE32-E72D297353CC}">
                  <c16:uniqueId val="{00000002-D17A-4FC3-81EB-6BB74FBCF0BA}"/>
                </c:ext>
              </c:extLst>
            </c:dLbl>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'Submitted vs Paid'!$A$7:$A$8</c:f>
              <c:strCache>
                <c:ptCount val="2"/>
                <c:pt idx="0">
                  <c:v>Sum of Cash Received (₦)</c:v>
                </c:pt>
                <c:pt idx="1">
                  <c:v>Sum of Outstanding Balance (₦)</c:v>
                </c:pt>
              </c:strCache>
            </c:strRef>
          </c:cat>
          <c:val>
            <c:numRef>
              <c:f>'Submitted vs Paid'!$B$7:$B$8</c:f>
              <c:numCache>
                <c:formatCode>General</c:formatCode>
                <c:ptCount val="2"/>
                <c:pt idx="0">
                  <c:v>137777974.59999996</c:v>
                </c:pt>
                <c:pt idx="1">
                  <c:v>43829243.75</c:v>
                </c:pt>
              </c:numCache>
            </c:numRef>
          </c:val>
          <c:extLst>
            <c:ext xmlns:c16="http://schemas.microsoft.com/office/drawing/2014/chart" uri="{C3380CC4-5D6E-409C-BE32-E72D297353CC}">
              <c16:uniqueId val="{00000000-D17A-4FC3-81EB-6BB74FBCF0BA}"/>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[Novatech Gadget Sales Dashboard.xlsx]Invoice Value by Client!PivotTable36</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'Invoice Value by Client'!$B$3</c:f>
              <c:strCache>
                <c:ptCount val="1"/>
                <c:pt idx="0">
                  <c:v>Total</c:v>
                </c:pt>
              </c:strCache>
            </c:strRef>
          </c:tx>
          <c:spPr>
            <a:solidFill>
              <a:schemeClr val="accent1"/>
            </a:solidFill>
            <a:ln>
              <a:noFill/>
            </a:ln>
            <a:effectLst/>
          </c:spPr>
          <c:invertIfNegative val="0"/>
          <c:cat>
            <c:strRef>
              <c:f>'Invoice Value by Client'!$A$4:$A$17</c:f>
              <c:strCache>
                <c:ptCount val="13"/>
                <c:pt idx="0">
                  <c:v>BluePeak Gadgets Ltd</c:v>
                </c:pt>
                <c:pt idx="1">
                  <c:v>BrightCell Retailers</c:v>
                </c:pt>
                <c:pt idx="2">
                  <c:v>Chike &amp; Sons Accessories</c:v>
                </c:pt>
                <c:pt idx="3">
                  <c:v>CoreLink Technologies</c:v>
                </c:pt>
                <c:pt idx="4">
                  <c:v>FlashPoint Accessories</c:v>
                </c:pt>
                <c:pt idx="5">
                  <c:v>IronGate Gadgets</c:v>
                </c:pt>
                <c:pt idx="6">
                  <c:v>NovaStreet Phones</c:v>
                </c:pt>
                <c:pt idx="7">
                  <c:v>PulseHub Electronics</c:v>
                </c:pt>
                <c:pt idx="8">
                  <c:v>SignalPro Devices</c:v>
                </c:pt>
                <c:pt idx="9">
                  <c:v>Skyline Mobile Mart</c:v>
                </c:pt>
                <c:pt idx="10">
                  <c:v>UrbanWave Mobiles</c:v>
                </c:pt>
                <c:pt idx="11">
                  <c:v>Vertex Phone Stores</c:v>
                </c:pt>
                <c:pt idx="12">
                  <c:v>luePeak Gadgets Ltd</c:v>
                </c:pt>
              </c:strCache>
            </c:strRef>
          </c:cat>
          <c:val>
            <c:numRef>
              <c:f>'Invoice Value by Client'!$B$4:$B$17</c:f>
              <c:numCache>
                <c:formatCode>_-[$₦-466]\ * #,##0.00_-;\-[$₦-466]\ * #,##0.00_-;_-[$₦-466]\ * "-"??_-;_-@_-</c:formatCode>
                <c:ptCount val="13"/>
                <c:pt idx="0">
                  <c:v>31828096.800000001</c:v>
                </c:pt>
                <c:pt idx="1">
                  <c:v>178762.2</c:v>
                </c:pt>
                <c:pt idx="2">
                  <c:v>420480.6</c:v>
                </c:pt>
                <c:pt idx="3">
                  <c:v>5365146.3</c:v>
                </c:pt>
                <c:pt idx="4">
                  <c:v>4331054.6500000004</c:v>
                </c:pt>
                <c:pt idx="5">
                  <c:v>16173468.100000001</c:v>
                </c:pt>
                <c:pt idx="6">
                  <c:v>19623467.450000003</c:v>
                </c:pt>
                <c:pt idx="7">
                  <c:v>5472765.9000000004</c:v>
                </c:pt>
                <c:pt idx="8">
                  <c:v>86000114.999999985</c:v>
                </c:pt>
                <c:pt idx="9">
                  <c:v>690480.75</c:v>
                </c:pt>
                <c:pt idx="10">
                  <c:v>404673.7</c:v>
                </c:pt>
                <c:pt idx="11">
                  <c:v>10808256.149999999</c:v>
                </c:pt>
                <c:pt idx="12">
                  <c:v>310450.75</c:v>
                </c:pt>
              </c:numCache>
            </c:numRef>
          </c:val>
          <c:extLst>
            <c:ext xmlns:c16="http://schemas.microsoft.com/office/drawing/2014/chart" uri="{C3380CC4-5D6E-409C-BE32-E72D297353CC}">
              <c16:uniqueId val="{00000001-A2E7-4C09-864A-51EF089696A7}"/>
            </c:ext>
          </c:extLst>
        </c:ser>
        <c:dLbls>
          <c:showLegendKey val="0"/>
          <c:showVal val="0"/>
          <c:showCatName val="0"/>
          <c:showSerName val="0"/>
          <c:showPercent val="0"/>
          <c:showBubbleSize val="0"/>
        </c:dLbls>
        <c:gapWidth val="219"/>
        <c:overlap val="-27"/>
        <c:axId val="475508232"/>
        <c:axId val="56923656"/>
      </c:barChart>
      <c:catAx>
        <c:axId val="475508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23656"/>
        <c:crosses val="autoZero"/>
        <c:auto val="1"/>
        <c:lblAlgn val="ctr"/>
        <c:lblOffset val="100"/>
        <c:noMultiLvlLbl val="0"/>
      </c:catAx>
      <c:valAx>
        <c:axId val="56923656"/>
        <c:scaling>
          <c:orientation val="minMax"/>
        </c:scaling>
        <c:delete val="0"/>
        <c:axPos val="l"/>
        <c:majorGridlines>
          <c:spPr>
            <a:ln w="9525" cap="flat" cmpd="sng" algn="ctr">
              <a:solidFill>
                <a:schemeClr val="tx1">
                  <a:lumMod val="15000"/>
                  <a:lumOff val="85000"/>
                </a:schemeClr>
              </a:solidFill>
              <a:round/>
            </a:ln>
            <a:effectLst/>
          </c:spPr>
        </c:majorGridlines>
        <c:numFmt formatCode="_-[$₦-466]\ * #,##0.00_-;\-[$₦-466]\ * #,##0.00_-;_-[$₦-466]\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5082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[Novatech Gadget Sales Dashboard.xlsx]Total Cash Received by Month!PivotTable36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Paid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00C4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Cash Received by Month'!$B$3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'Total Cash Received by Month'!$A$4:$A$15</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'Total Cash Received by Month'!$B$4:$B$15</c:f>
              <c:numCache>
                <c:formatCode>_-[$₦-466]\ * #,##0.00_-;\-[$₦-466]\ * #,##0.00_-;_-[$₦-466]\ * "-"??_-;_-@_-</c:formatCode>
                <c:ptCount val="11"/>
                <c:pt idx="0">
                  <c:v>17006390.5</c:v>
                </c:pt>
                <c:pt idx="1">
                  <c:v>19812124.649999999</c:v>
                </c:pt>
                <c:pt idx="2">
                  <c:v>10374403.950000001</c:v>
                </c:pt>
                <c:pt idx="3">
                  <c:v>10523383.950000001</c:v>
                </c:pt>
                <c:pt idx="4">
                  <c:v>13279593.800000001</c:v>
                </c:pt>
                <c:pt idx="5">
                  <c:v>15402193.25</c:v>
                </c:pt>
                <c:pt idx="6">
                  <c:v>8592654</c:v>
                </c:pt>
                <c:pt idx="7">
                  <c:v>25712203.550000001</c:v>
                </c:pt>
                <c:pt idx="8">
                  <c:v>1591542.25</c:v>
                </c:pt>
                <c:pt idx="9">
                  <c:v>7456081.5999999996</c:v>
                </c:pt>
                <c:pt idx="10">
                  <c:v>8027403.0999999996</c:v>
                </c:pt>
              </c:numCache>
            </c:numRef>
          </c:val>
          <c:smooth val="0"/>
          <c:extLst>
            <c:ext xmlns:c16="http://schemas.microsoft.com/office/drawing/2014/chart" uri="{C3380CC4-5D6E-409C-BE32-E72D297353CC}">
              <c16:uniqueId val="{00000000-E4D5-4C93-88B1-FD8855A844D3}"/>
            </c:ext>
          </c:extLst>
        </c:ser>
        <c:dLbls>
          <c:showLegendKey val="0"/>
          <c:showVal val="0"/>
          <c:showCatName val="0"/>
          <c:showSerName val="0"/>
          <c:showPercent val="0"/>
          <c:showBubbleSize val="0"/>
        </c:dLbls>
        <c:marker val="1"/>
        <c:smooth val="0"/>
        <c:axId val="2003403871"/>
        <c:axId val="2003401791"/>
      </c:lineChart>
      <c:catAx>
        <c:axId val="2003403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401791"/>
        <c:crosses val="autoZero"/>
        <c:auto val="1"/>
        <c:lblAlgn val="ctr"/>
        <c:lblOffset val="100"/>
        <c:noMultiLvlLbl val="0"/>
      </c:catAx>
      <c:valAx>
        <c:axId val="2003401791"/>
        <c:scaling>
          <c:orientation val="minMax"/>
        </c:scaling>
        <c:delete val="0"/>
        <c:axPos val="l"/>
        <c:numFmt formatCode="_-[$₦-466]\ * #,##0.00_-;\-[$₦-466]\ * #,##0.00_-;_-[$₦-466]\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403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[Novatech Gadget Sales Dashboard.xlsx]Total Cash Recieved by Qtr!PivotTable36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Cash</a:t>
            </a:r>
            <a:r>
              <a:rPr lang="en-US" baseline="0"/>
              <a:t> Recieved by Qtr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4B71D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Cash Recieved by Qtr'!$B$3</c:f>
              <c:strCache>
                <c:ptCount val="1"/>
                <c:pt idx="0">
                  <c:v>Total</c:v>
                </c:pt>
              </c:strCache>
            </c:strRef>
          </c:tx>
          <c:spPr>
            <a:solidFill>
              <a:schemeClr val="accent1"/>
            </a:solidFill>
            <a:ln>
              <a:noFill/>
            </a:ln>
            <a:effectLst/>
          </c:spPr>
          <c:invertIfNegative val="0"/>
          <c:cat>
            <c:strRef>
              <c:f>'Total Cash Recieved by Qtr'!$A$4:$A$8</c:f>
              <c:strCache>
                <c:ptCount val="4"/>
                <c:pt idx="0">
                  <c:v>Q1</c:v>
                </c:pt>
                <c:pt idx="1">
                  <c:v>Q2</c:v>
                </c:pt>
                <c:pt idx="2">
                  <c:v>Q3</c:v>
                </c:pt>
                <c:pt idx="3">
                  <c:v>Q4</c:v>
                </c:pt>
              </c:strCache>
            </c:strRef>
          </c:cat>
          <c:val>
            <c:numRef>
              <c:f>'Total Cash Recieved by Qtr'!$B$4:$B$8</c:f>
              <c:numCache>
                <c:formatCode>_-[$₦-466]\ * #,##0.00_-;\-[$₦-466]\ * #,##0.00_-;_-[$₦-466]\ * "-"??_-;_-@_-</c:formatCode>
                <c:ptCount val="4"/>
                <c:pt idx="0">
                  <c:v>47192919.099999994</c:v>
                </c:pt>
                <c:pt idx="1">
                  <c:v>39205171.000000007</c:v>
                </c:pt>
                <c:pt idx="2">
                  <c:v>35896399.799999997</c:v>
                </c:pt>
                <c:pt idx="3">
                  <c:v>15483484.699999999</c:v>
                </c:pt>
              </c:numCache>
            </c:numRef>
          </c:val>
          <c:extLst>
            <c:ext xmlns:c16="http://schemas.microsoft.com/office/drawing/2014/chart" uri="{C3380CC4-5D6E-409C-BE32-E72D297353CC}">
              <c16:uniqueId val="{00000001-4146-46BC-AAC5-1C79355B2857}"/>
            </c:ext>
          </c:extLst>
        </c:ser>
        <c:dLbls>
          <c:showLegendKey val="0"/>
          <c:showVal val="0"/>
          <c:showCatName val="0"/>
          <c:showSerName val="0"/>
          <c:showPercent val="0"/>
          <c:showBubbleSize val="0"/>
        </c:dLbls>
        <c:gapWidth val="219"/>
        <c:overlap val="-27"/>
        <c:axId val="417362751"/>
        <c:axId val="417361503"/>
      </c:barChart>
      <c:catAx>
        <c:axId val="417362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361503"/>
        <c:crosses val="autoZero"/>
        <c:auto val="1"/>
        <c:lblAlgn val="ctr"/>
        <c:lblOffset val="100"/>
        <c:noMultiLvlLbl val="0"/>
      </c:catAx>
      <c:valAx>
        <c:axId val="417361503"/>
        <c:scaling>
          <c:orientation val="minMax"/>
        </c:scaling>
        <c:delete val="0"/>
        <c:axPos val="l"/>
        <c:numFmt formatCode="_-[$₦-466]\ * #,##0.00_-;\-[$₦-466]\ * #,##0.00_-;_-[$₦-466]\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362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[Novatech Gadget Sales Dashboard.xlsx]Cash Received vs Outstanding by!PivotTable36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Cash Received vs Outstanding</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C4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'Cash Received vs Outstanding by'!$B$3</c:f>
              <c:strCache>
                <c:ptCount val="1"/>
                <c:pt idx="0">
                  <c:v>Sum of Cash Received (₦)</c:v>
                </c:pt>
              </c:strCache>
            </c:strRef>
          </c:tx>
          <c:spPr>
            <a:solidFill>
              <a:schemeClr val="accent1"/>
            </a:solidFill>
            <a:ln>
              <a:noFill/>
            </a:ln>
            <a:effectLst/>
          </c:spPr>
          <c:invertIfNegative val="0"/>
          <c:cat>
            <c:strRef>
              <c:f>'Cash Received vs Outstanding by'!$A$4:$A$15</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'Cash Received vs Outstanding by'!$B$4:$B$15</c:f>
              <c:numCache>
                <c:formatCode>General</c:formatCode>
                <c:ptCount val="11"/>
                <c:pt idx="0">
                  <c:v>17006390.5</c:v>
                </c:pt>
                <c:pt idx="1">
                  <c:v>19812124.649999999</c:v>
                </c:pt>
                <c:pt idx="2">
                  <c:v>10374403.950000001</c:v>
                </c:pt>
                <c:pt idx="3">
                  <c:v>10523383.950000001</c:v>
                </c:pt>
                <c:pt idx="4">
                  <c:v>13279593.800000001</c:v>
                </c:pt>
                <c:pt idx="5">
                  <c:v>15402193.25</c:v>
                </c:pt>
                <c:pt idx="6">
                  <c:v>8592654</c:v>
                </c:pt>
                <c:pt idx="7">
                  <c:v>25712203.550000001</c:v>
                </c:pt>
                <c:pt idx="8">
                  <c:v>1591542.25</c:v>
                </c:pt>
                <c:pt idx="9">
                  <c:v>7456081.5999999996</c:v>
                </c:pt>
                <c:pt idx="10">
                  <c:v>8027403.0999999996</c:v>
                </c:pt>
              </c:numCache>
            </c:numRef>
          </c:val>
          <c:extLst>
            <c:ext xmlns:c16="http://schemas.microsoft.com/office/drawing/2014/chart" uri="{C3380CC4-5D6E-409C-BE32-E72D297353CC}">
              <c16:uniqueId val="{00000000-67B2-42F1-8A35-FC51C712CFCF}"/>
            </c:ext>
          </c:extLst>
        </c:ser>
        <c:ser>
          <c:idx val="1"/>
          <c:order val="1"/>
          <c:tx>
            <c:strRef>
              <c:f>'Cash Received vs Outstanding by'!$C$3</c:f>
              <c:strCache>
                <c:ptCount val="1"/>
                <c:pt idx="0">
                  <c:v>Sum of Outstanding Balance (₦)</c:v>
                </c:pt>
              </c:strCache>
            </c:strRef>
          </c:tx>
          <c:spPr>
            <a:solidFill>
              <a:schemeClr val="accent2"/>
            </a:solidFill>
            <a:ln>
              <a:noFill/>
            </a:ln>
            <a:effectLst/>
          </c:spPr>
          <c:invertIfNegative val="0"/>
          <c:cat>
            <c:strRef>
              <c:f>'Cash Received vs Outstanding by'!$A$4:$A$15</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'Cash Received vs Outstanding by'!$C$4:$C$15</c:f>
              <c:numCache>
                <c:formatCode>General</c:formatCode>
                <c:ptCount val="11"/>
                <c:pt idx="0">
                  <c:v>0</c:v>
                </c:pt>
                <c:pt idx="1">
                  <c:v>859000.40000000072</c:v>
                </c:pt>
                <c:pt idx="2">
                  <c:v>22641.249999999964</c:v>
                </c:pt>
                <c:pt idx="3">
                  <c:v>22661.249999999964</c:v>
                </c:pt>
                <c:pt idx="4">
                  <c:v>746532</c:v>
                </c:pt>
                <c:pt idx="5">
                  <c:v>35322.049999999785</c:v>
                </c:pt>
                <c:pt idx="6">
                  <c:v>1175611.5</c:v>
                </c:pt>
                <c:pt idx="7">
                  <c:v>10471542.550000001</c:v>
                </c:pt>
                <c:pt idx="8">
                  <c:v>4418402.5</c:v>
                </c:pt>
                <c:pt idx="9">
                  <c:v>12365105.6</c:v>
                </c:pt>
                <c:pt idx="10">
                  <c:v>13712424.649999999</c:v>
                </c:pt>
              </c:numCache>
            </c:numRef>
          </c:val>
          <c:extLst>
            <c:ext xmlns:c16="http://schemas.microsoft.com/office/drawing/2014/chart" uri="{C3380CC4-5D6E-409C-BE32-E72D297353CC}">
              <c16:uniqueId val="{00000001-67B2-42F1-8A35-FC51C712CFCF}"/>
            </c:ext>
          </c:extLst>
        </c:ser>
        <c:dLbls>
          <c:showLegendKey val="0"/>
          <c:showVal val="0"/>
          <c:showCatName val="0"/>
          <c:showSerName val="0"/>
          <c:showPercent val="0"/>
          <c:showBubbleSize val="0"/>
        </c:dLbls>
        <c:gapWidth val="219"/>
        <c:overlap val="-27"/>
        <c:axId val="1962750175"/>
        <c:axId val="1962752671"/>
      </c:barChart>
      <c:catAx>
        <c:axId val="1962750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752671"/>
        <c:crosses val="autoZero"/>
        <c:auto val="1"/>
        <c:lblAlgn val="ctr"/>
        <c:lblOffset val="100"/>
        <c:noMultiLvlLbl val="0"/>
      </c:catAx>
      <c:valAx>
        <c:axId val="19627526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750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[Novatech Gadget Sales Dashboard.xlsx]Cash Recieved vs Oustanding By !PivotTable36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Paid Vs Due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4B71D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C4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C400"/>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'Cash Recieved vs Oustanding By '!$B$3</c:f>
              <c:strCache>
                <c:ptCount val="1"/>
                <c:pt idx="0">
                  <c:v>Sum of Cash Received (₦)</c:v>
                </c:pt>
              </c:strCache>
            </c:strRef>
          </c:tx>
          <c:spPr>
            <a:solidFill>
              <a:schemeClr val="accent1"/>
            </a:solidFill>
            <a:ln>
              <a:noFill/>
            </a:ln>
            <a:effectLst/>
          </c:spPr>
          <c:invertIfNegative val="0"/>
          <c:cat>
            <c:strRef>
              <c:f>'Cash Recieved vs Oustanding By '!$A$4:$A$8</c:f>
              <c:strCache>
                <c:ptCount val="4"/>
                <c:pt idx="0">
                  <c:v>Q1</c:v>
                </c:pt>
                <c:pt idx="1">
                  <c:v>Q2</c:v>
                </c:pt>
                <c:pt idx="2">
                  <c:v>Q3</c:v>
                </c:pt>
                <c:pt idx="3">
                  <c:v>Q4</c:v>
                </c:pt>
              </c:strCache>
            </c:strRef>
          </c:cat>
          <c:val>
            <c:numRef>
              <c:f>'Cash Recieved vs Oustanding By '!$B$4:$B$8</c:f>
              <c:numCache>
                <c:formatCode>General</c:formatCode>
                <c:ptCount val="4"/>
                <c:pt idx="0">
                  <c:v>47192919.099999994</c:v>
                </c:pt>
                <c:pt idx="1">
                  <c:v>39205171.000000007</c:v>
                </c:pt>
                <c:pt idx="2">
                  <c:v>35896399.799999997</c:v>
                </c:pt>
                <c:pt idx="3">
                  <c:v>15483484.699999999</c:v>
                </c:pt>
              </c:numCache>
            </c:numRef>
          </c:val>
          <c:extLst>
            <c:ext xmlns:c16="http://schemas.microsoft.com/office/drawing/2014/chart" uri="{C3380CC4-5D6E-409C-BE32-E72D297353CC}">
              <c16:uniqueId val="{00000002-554F-4E80-A599-DEF5A476F0BF}"/>
            </c:ext>
          </c:extLst>
        </c:ser>
        <c:ser>
          <c:idx val="1"/>
          <c:order val="1"/>
          <c:tx>
            <c:strRef>
              <c:f>'Cash Recieved vs Oustanding By '!$C$3</c:f>
              <c:strCache>
                <c:ptCount val="1"/>
                <c:pt idx="0">
                  <c:v>Sum of Outstanding Balance (₦)</c:v>
                </c:pt>
              </c:strCache>
            </c:strRef>
          </c:tx>
          <c:spPr>
            <a:solidFill>
              <a:schemeClr val="accent2"/>
            </a:solidFill>
            <a:ln>
              <a:noFill/>
            </a:ln>
            <a:effectLst/>
          </c:spPr>
          <c:invertIfNegative val="0"/>
          <c:cat>
            <c:strRef>
              <c:f>'Cash Recieved vs Oustanding By '!$A$4:$A$8</c:f>
              <c:strCache>
                <c:ptCount val="4"/>
                <c:pt idx="0">
                  <c:v>Q1</c:v>
                </c:pt>
                <c:pt idx="1">
                  <c:v>Q2</c:v>
                </c:pt>
                <c:pt idx="2">
                  <c:v>Q3</c:v>
                </c:pt>
                <c:pt idx="3">
                  <c:v>Q4</c:v>
                </c:pt>
              </c:strCache>
            </c:strRef>
          </c:cat>
          <c:val>
            <c:numRef>
              <c:f>'Cash Recieved vs Oustanding By '!$C$4:$C$8</c:f>
              <c:numCache>
                <c:formatCode>General</c:formatCode>
                <c:ptCount val="4"/>
                <c:pt idx="0">
                  <c:v>881641.65000000061</c:v>
                </c:pt>
                <c:pt idx="1">
                  <c:v>804515.29999999981</c:v>
                </c:pt>
                <c:pt idx="2">
                  <c:v>16065556.550000001</c:v>
                </c:pt>
                <c:pt idx="3">
                  <c:v>26077530.250000004</c:v>
                </c:pt>
              </c:numCache>
            </c:numRef>
          </c:val>
          <c:extLst>
            <c:ext xmlns:c16="http://schemas.microsoft.com/office/drawing/2014/chart" uri="{C3380CC4-5D6E-409C-BE32-E72D297353CC}">
              <c16:uniqueId val="{00000003-554F-4E80-A599-DEF5A476F0BF}"/>
            </c:ext>
          </c:extLst>
        </c:ser>
        <c:dLbls>
          <c:showLegendKey val="0"/>
          <c:showVal val="0"/>
          <c:showCatName val="0"/>
          <c:showSerName val="0"/>
          <c:showPercent val="0"/>
          <c:showBubbleSize val="0"/>
        </c:dLbls>
        <c:gapWidth val="219"/>
        <c:overlap val="-27"/>
        <c:axId val="464001663"/>
        <c:axId val="463995007"/>
      </c:barChart>
      <c:catAx>
        <c:axId val="4640016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995007"/>
        <c:crosses val="autoZero"/>
        <c:auto val="1"/>
        <c:lblAlgn val="ctr"/>
        <c:lblOffset val="100"/>
        <c:noMultiLvlLbl val="0"/>
      </c:catAx>
      <c:valAx>
        <c:axId val="46399500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0016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[Novatech Gadget Sales Dashboard.xlsx]Cash Recieved vs Outst. By Clie!PivotTable36</c:name>
    <c:fmtId val="0"/>
  </c:pivotSource>
  <c:chart>
    <c:autoTitleDeleted val="0"/>
    <c:pivotFmts>
      <c:pivotFmt>
        <c:idx val="0"/>
        <c:spPr>
          <a:solidFill>
            <a:srgbClr val="4B71D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C4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B71D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252684323550465"/>
          <c:y val="5.0925925925925923E-2"/>
          <c:w val="0.56573856420440116"/>
          <c:h val="0.8416746864975212"/>
        </c:manualLayout>
      </c:layout>
      <c:barChart>
        <c:barDir val="bar"/>
        <c:grouping val="percentStacked"/>
        <c:varyColors val="0"/>
        <c:ser>
          <c:idx val="0"/>
          <c:order val="0"/>
          <c:tx>
            <c:strRef>
              <c:f>'Cash Recieved vs Outst. By Clie'!$B$3</c:f>
              <c:strCache>
                <c:ptCount val="1"/>
                <c:pt idx="0">
                  <c:v>Sum of % PAID</c:v>
                </c:pt>
              </c:strCache>
            </c:strRef>
          </c:tx>
          <c:spPr>
            <a:solidFill>
              <a:srgbClr val="4B71D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'Cash Recieved vs Outst. By Clie'!$A$4:$A$17</c:f>
              <c:strCache>
                <c:ptCount val="13"/>
                <c:pt idx="0">
                  <c:v>BluePeak Gadgets Ltd</c:v>
                </c:pt>
                <c:pt idx="1">
                  <c:v>BrightCell Retailers</c:v>
                </c:pt>
                <c:pt idx="2">
                  <c:v>Chike &amp; Sons Accessories</c:v>
                </c:pt>
                <c:pt idx="3">
                  <c:v>CoreLink Technologies</c:v>
                </c:pt>
                <c:pt idx="4">
                  <c:v>FlashPoint Accessories</c:v>
                </c:pt>
                <c:pt idx="5">
                  <c:v>IronGate Gadgets</c:v>
                </c:pt>
                <c:pt idx="6">
                  <c:v>NovaStreet Phones</c:v>
                </c:pt>
                <c:pt idx="7">
                  <c:v>PulseHub Electronics</c:v>
                </c:pt>
                <c:pt idx="8">
                  <c:v>SignalPro Devices</c:v>
                </c:pt>
                <c:pt idx="9">
                  <c:v>Skyline Mobile Mart</c:v>
                </c:pt>
                <c:pt idx="10">
                  <c:v>UrbanWave Mobiles</c:v>
                </c:pt>
                <c:pt idx="11">
                  <c:v>Vertex Phone Stores</c:v>
                </c:pt>
                <c:pt idx="12">
                  <c:v>luePeak Gadgets Ltd</c:v>
                </c:pt>
              </c:strCache>
            </c:strRef>
          </c:cat>
          <c:val>
            <c:numRef>
              <c:f>'Cash Recieved vs Outst. By Clie'!$B$4:$B$17</c:f>
              <c:numCache>
                <c:formatCode>0.00%</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0-4D93-4607-A91E-00854339A20E}"/>
            </c:ext>
          </c:extLst>
        </c:ser>
        <c:ser>
          <c:idx val="1"/>
          <c:order val="1"/>
          <c:tx>
            <c:strRef>
              <c:f>'Cash Recieved vs Outst. By Clie'!$C$3</c:f>
              <c:strCache>
                <c:ptCount val="1"/>
                <c:pt idx="0">
                  <c:v>Sum of Outstanding Balance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'Cash Recieved vs Outst. By Clie'!$A$4:$A$17</c:f>
              <c:strCache>
                <c:ptCount val="13"/>
                <c:pt idx="0">
                  <c:v>BluePeak Gadgets Ltd</c:v>
                </c:pt>
                <c:pt idx="1">
                  <c:v>BrightCell Retailers</c:v>
                </c:pt>
                <c:pt idx="2">
                  <c:v>Chike &amp; Sons Accessories</c:v>
                </c:pt>
                <c:pt idx="3">
                  <c:v>CoreLink Technologies</c:v>
                </c:pt>
                <c:pt idx="4">
                  <c:v>FlashPoint Accessories</c:v>
                </c:pt>
                <c:pt idx="5">
                  <c:v>IronGate Gadgets</c:v>
                </c:pt>
                <c:pt idx="6">
                  <c:v>NovaStreet Phones</c:v>
                </c:pt>
                <c:pt idx="7">
                  <c:v>PulseHub Electronics</c:v>
                </c:pt>
                <c:pt idx="8">
                  <c:v>SignalPro Devices</c:v>
                </c:pt>
                <c:pt idx="9">
                  <c:v>Skyline Mobile Mart</c:v>
                </c:pt>
                <c:pt idx="10">
                  <c:v>UrbanWave Mobiles</c:v>
                </c:pt>
                <c:pt idx="11">
                  <c:v>Vertex Phone Stores</c:v>
                </c:pt>
                <c:pt idx="12">
                  <c:v>luePeak Gadgets Ltd</c:v>
                </c:pt>
              </c:strCache>
            </c:strRef>
          </c:cat>
          <c:val>
            <c:numRef>
              <c:f>'Cash Recieved vs Outst. By Clie'!$C$4:$C$17</c:f>
              <c:numCache>
                <c:formatCode>General</c:formatCode>
                <c:ptCount val="13"/>
                <c:pt idx="0">
                  <c:v>14063213.699999999</c:v>
                </c:pt>
                <c:pt idx="1">
                  <c:v>25480.6</c:v>
                </c:pt>
                <c:pt idx="2">
                  <c:v>95000.099999999977</c:v>
                </c:pt>
                <c:pt idx="3">
                  <c:v>3629984.2</c:v>
                </c:pt>
                <c:pt idx="4">
                  <c:v>3339533.9499999997</c:v>
                </c:pt>
                <c:pt idx="5">
                  <c:v>3871633.25</c:v>
                </c:pt>
                <c:pt idx="6">
                  <c:v>8499283.5</c:v>
                </c:pt>
                <c:pt idx="7">
                  <c:v>142241.24999999988</c:v>
                </c:pt>
                <c:pt idx="8">
                  <c:v>4970130.0999999996</c:v>
                </c:pt>
                <c:pt idx="9">
                  <c:v>565000.15</c:v>
                </c:pt>
                <c:pt idx="10">
                  <c:v>30930.75</c:v>
                </c:pt>
                <c:pt idx="11">
                  <c:v>4581682.05</c:v>
                </c:pt>
                <c:pt idx="12">
                  <c:v>15130.150000000023</c:v>
                </c:pt>
              </c:numCache>
            </c:numRef>
          </c:val>
          <c:extLst>
            <c:ext xmlns:c16="http://schemas.microsoft.com/office/drawing/2014/chart" uri="{C3380CC4-5D6E-409C-BE32-E72D297353CC}">
              <c16:uniqueId val="{00000001-FD55-415C-A0FC-189B552C076D}"/>
            </c:ext>
          </c:extLst>
        </c:ser>
        <c:ser>
          <c:idx val="2"/>
          <c:order val="2"/>
          <c:tx>
            <c:strRef>
              <c:f>'Cash Recieved vs Outst. By Clie'!$D$3</c:f>
              <c:strCache>
                <c:ptCount val="1"/>
                <c:pt idx="0">
                  <c:v>Sum of Cash Received (₦)</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'Cash Recieved vs Outst. By Clie'!$A$4:$A$17</c:f>
              <c:strCache>
                <c:ptCount val="13"/>
                <c:pt idx="0">
                  <c:v>BluePeak Gadgets Ltd</c:v>
                </c:pt>
                <c:pt idx="1">
                  <c:v>BrightCell Retailers</c:v>
                </c:pt>
                <c:pt idx="2">
                  <c:v>Chike &amp; Sons Accessories</c:v>
                </c:pt>
                <c:pt idx="3">
                  <c:v>CoreLink Technologies</c:v>
                </c:pt>
                <c:pt idx="4">
                  <c:v>FlashPoint Accessories</c:v>
                </c:pt>
                <c:pt idx="5">
                  <c:v>IronGate Gadgets</c:v>
                </c:pt>
                <c:pt idx="6">
                  <c:v>NovaStreet Phones</c:v>
                </c:pt>
                <c:pt idx="7">
                  <c:v>PulseHub Electronics</c:v>
                </c:pt>
                <c:pt idx="8">
                  <c:v>SignalPro Devices</c:v>
                </c:pt>
                <c:pt idx="9">
                  <c:v>Skyline Mobile Mart</c:v>
                </c:pt>
                <c:pt idx="10">
                  <c:v>UrbanWave Mobiles</c:v>
                </c:pt>
                <c:pt idx="11">
                  <c:v>Vertex Phone Stores</c:v>
                </c:pt>
                <c:pt idx="12">
                  <c:v>luePeak Gadgets Ltd</c:v>
                </c:pt>
              </c:strCache>
            </c:strRef>
          </c:cat>
          <c:val>
            <c:numRef>
              <c:f>'Cash Recieved vs Outst. By Clie'!$D$4:$D$17</c:f>
              <c:numCache>
                <c:formatCode>General</c:formatCode>
                <c:ptCount val="13"/>
                <c:pt idx="0">
                  <c:v>17764883.100000001</c:v>
                </c:pt>
                <c:pt idx="1">
                  <c:v>153281.60000000001</c:v>
                </c:pt>
                <c:pt idx="2">
                  <c:v>325480.5</c:v>
                </c:pt>
                <c:pt idx="3">
                  <c:v>1735162.0999999996</c:v>
                </c:pt>
                <c:pt idx="4">
                  <c:v>991520.7</c:v>
                </c:pt>
                <c:pt idx="5">
                  <c:v>12301834.850000001</c:v>
                </c:pt>
                <c:pt idx="6">
                  <c:v>11124183.950000001</c:v>
                </c:pt>
                <c:pt idx="7">
                  <c:v>5330524.6500000004</c:v>
                </c:pt>
                <c:pt idx="8">
                  <c:v>81029984.900000006</c:v>
                </c:pt>
                <c:pt idx="9">
                  <c:v>125480.6</c:v>
                </c:pt>
                <c:pt idx="10">
                  <c:v>373742.95</c:v>
                </c:pt>
                <c:pt idx="11">
                  <c:v>6226574.1000000006</c:v>
                </c:pt>
                <c:pt idx="12">
                  <c:v>295320.59999999998</c:v>
                </c:pt>
              </c:numCache>
            </c:numRef>
          </c:val>
          <c:extLst>
            <c:ext xmlns:c16="http://schemas.microsoft.com/office/drawing/2014/chart" uri="{C3380CC4-5D6E-409C-BE32-E72D297353CC}">
              <c16:uniqueId val="{00000002-FD55-415C-A0FC-189B552C076D}"/>
            </c:ext>
          </c:extLst>
        </c:ser>
        <c:dLbls>
          <c:showLegendKey val="0"/>
          <c:showVal val="1"/>
          <c:showCatName val="0"/>
          <c:showSerName val="0"/>
          <c:showPercent val="0"/>
          <c:showBubbleSize val="0"/>
        </c:dLbls>
        <c:gapWidth val="62"/>
        <c:overlap val="100"/>
        <c:axId val="962735615"/>
        <c:axId val="962738111"/>
      </c:barChart>
      <c:catAx>
        <c:axId val="962735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738111"/>
        <c:crosses val="autoZero"/>
        <c:auto val="1"/>
        <c:lblAlgn val="ctr"/>
        <c:lblOffset val="100"/>
        <c:noMultiLvlLbl val="0"/>
      </c:catAx>
      <c:valAx>
        <c:axId val="96273811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735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[Novatech Gadget Sales Dashboard.xlsx]Number of Units by Client!PivotTable36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Units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4B71D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'Number of Units by Client'!$B$3</c:f>
              <c:strCache>
                <c:ptCount val="1"/>
                <c:pt idx="0">
                  <c:v>Total</c:v>
                </c:pt>
              </c:strCache>
            </c:strRef>
          </c:tx>
          <c:spPr>
            <a:solidFill>
              <a:schemeClr val="accent1"/>
            </a:solidFill>
            <a:ln>
              <a:noFill/>
            </a:ln>
            <a:effectLst/>
          </c:spPr>
          <c:invertIfNegative val="0"/>
          <c:cat>
            <c:strRef>
              <c:f>'Number of Units by Client'!$A$4:$A$17</c:f>
              <c:strCache>
                <c:ptCount val="13"/>
                <c:pt idx="0">
                  <c:v>BluePeak Gadgets Ltd</c:v>
                </c:pt>
                <c:pt idx="1">
                  <c:v>BrightCell Retailers</c:v>
                </c:pt>
                <c:pt idx="2">
                  <c:v>Chike &amp; Sons Accessories</c:v>
                </c:pt>
                <c:pt idx="3">
                  <c:v>CoreLink Technologies</c:v>
                </c:pt>
                <c:pt idx="4">
                  <c:v>FlashPoint Accessories</c:v>
                </c:pt>
                <c:pt idx="5">
                  <c:v>IronGate Gadgets</c:v>
                </c:pt>
                <c:pt idx="6">
                  <c:v>NovaStreet Phones</c:v>
                </c:pt>
                <c:pt idx="7">
                  <c:v>PulseHub Electronics</c:v>
                </c:pt>
                <c:pt idx="8">
                  <c:v>SignalPro Devices</c:v>
                </c:pt>
                <c:pt idx="9">
                  <c:v>Skyline Mobile Mart</c:v>
                </c:pt>
                <c:pt idx="10">
                  <c:v>UrbanWave Mobiles</c:v>
                </c:pt>
                <c:pt idx="11">
                  <c:v>Vertex Phone Stores</c:v>
                </c:pt>
                <c:pt idx="12">
                  <c:v>luePeak Gadgets Ltd</c:v>
                </c:pt>
              </c:strCache>
            </c:strRef>
          </c:cat>
          <c:val>
            <c:numRef>
              <c:f>'Number of Units by Client'!$B$4:$B$17</c:f>
              <c:numCache>
                <c:formatCode>General</c:formatCode>
                <c:ptCount val="13"/>
                <c:pt idx="0">
                  <c:v>493</c:v>
                </c:pt>
                <c:pt idx="1">
                  <c:v>9</c:v>
                </c:pt>
                <c:pt idx="2">
                  <c:v>15</c:v>
                </c:pt>
                <c:pt idx="3">
                  <c:v>313</c:v>
                </c:pt>
                <c:pt idx="4">
                  <c:v>183</c:v>
                </c:pt>
                <c:pt idx="5">
                  <c:v>1151</c:v>
                </c:pt>
                <c:pt idx="6">
                  <c:v>578</c:v>
                </c:pt>
                <c:pt idx="7">
                  <c:v>147</c:v>
                </c:pt>
                <c:pt idx="8">
                  <c:v>48</c:v>
                </c:pt>
                <c:pt idx="9">
                  <c:v>0</c:v>
                </c:pt>
                <c:pt idx="10">
                  <c:v>36</c:v>
                </c:pt>
                <c:pt idx="11">
                  <c:v>179</c:v>
                </c:pt>
                <c:pt idx="12">
                  <c:v>12</c:v>
                </c:pt>
              </c:numCache>
            </c:numRef>
          </c:val>
          <c:extLst>
            <c:ext xmlns:c16="http://schemas.microsoft.com/office/drawing/2014/chart" uri="{C3380CC4-5D6E-409C-BE32-E72D297353CC}">
              <c16:uniqueId val="{00000001-F49D-4D42-98C0-DEF0BC9155E6}"/>
            </c:ext>
          </c:extLst>
        </c:ser>
        <c:dLbls>
          <c:showLegendKey val="0"/>
          <c:showVal val="0"/>
          <c:showCatName val="0"/>
          <c:showSerName val="0"/>
          <c:showPercent val="0"/>
          <c:showBubbleSize val="0"/>
        </c:dLbls>
        <c:gapWidth val="30"/>
        <c:overlap val="-27"/>
        <c:axId val="1993950495"/>
        <c:axId val="1993949663"/>
      </c:barChart>
      <c:catAx>
        <c:axId val="1993950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949663"/>
        <c:crosses val="autoZero"/>
        <c:auto val="1"/>
        <c:lblAlgn val="ctr"/>
        <c:lblOffset val="100"/>
        <c:noMultiLvlLbl val="0"/>
      </c:catAx>
      <c:valAx>
        <c:axId val="19939496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950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51</xdr:col>
      <xdr:colOff>219075</xdr:colOff>
      <xdr:row>76</xdr:row>
      <xdr:rowOff>142875</xdr:rowOff>
    </xdr:to>
    <xdr:sp macro="" textlink="">
      <xdr:nvSpPr>
        <xdr:cNvPr id="2" name="Rectangle 1">
          <a:extLst>
            <a:ext uri="{FF2B5EF4-FFF2-40B4-BE49-F238E27FC236}">
              <a16:creationId xmlns:a16="http://schemas.microsoft.com/office/drawing/2014/main" id="{7C6B863F-4D1D-4F57-860B-4733A919A33B}"/>
            </a:ext>
          </a:extLst>
        </xdr:cNvPr>
        <xdr:cNvSpPr/>
      </xdr:nvSpPr>
      <xdr:spPr>
        <a:xfrm>
          <a:off x="0" y="0"/>
          <a:ext cx="31097796" cy="13610782"/>
        </a:xfrm>
        <a:prstGeom prst="rect">
          <a:avLst/>
        </a:prstGeom>
        <a:solidFill>
          <a:schemeClr val="accent1">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US" sz="1100">
            <a:solidFill>
              <a:schemeClr val="dk1"/>
            </a:solidFill>
            <a:latin typeface="+mn-lt"/>
            <a:ea typeface="+mn-lt"/>
            <a:cs typeface="+mn-lt"/>
          </a:endParaRPr>
        </a:p>
      </xdr:txBody>
    </xdr:sp>
    <xdr:clientData/>
  </xdr:twoCellAnchor>
  <xdr:twoCellAnchor>
    <xdr:from>
      <xdr:col>5</xdr:col>
      <xdr:colOff>252889</xdr:colOff>
      <xdr:row>15</xdr:row>
      <xdr:rowOff>130354</xdr:rowOff>
    </xdr:from>
    <xdr:to>
      <xdr:col>12</xdr:col>
      <xdr:colOff>98862</xdr:colOff>
      <xdr:row>34</xdr:row>
      <xdr:rowOff>167257</xdr:rowOff>
    </xdr:to>
    <xdr:sp macro="" textlink="">
      <xdr:nvSpPr>
        <xdr:cNvPr id="10" name="Rectangle: Rounded Corners 9">
          <a:extLst>
            <a:ext uri="{FF2B5EF4-FFF2-40B4-BE49-F238E27FC236}">
              <a16:creationId xmlns:a16="http://schemas.microsoft.com/office/drawing/2014/main" id="{3694F6CF-89AE-446C-82B6-D5AE3E6D251F}"/>
            </a:ext>
          </a:extLst>
        </xdr:cNvPr>
        <xdr:cNvSpPr/>
      </xdr:nvSpPr>
      <xdr:spPr>
        <a:xfrm>
          <a:off x="3342078" y="2962111"/>
          <a:ext cx="4170838" cy="3623795"/>
        </a:xfrm>
        <a:prstGeom prst="roundRect">
          <a:avLst/>
        </a:prstGeom>
        <a:solidFill>
          <a:schemeClr val="bg1"/>
        </a:solidFill>
        <a:ln>
          <a:solidFill>
            <a:schemeClr val="bg1">
              <a:lumMod val="95000"/>
            </a:schemeClr>
          </a:solidFill>
        </a:ln>
        <a:effectLst>
          <a:outerShdw blurRad="50800" dist="38100" dir="2700000" algn="tl" rotWithShape="0">
            <a:prstClr val="black">
              <a:alpha val="40000"/>
            </a:prstClr>
          </a:outerShdw>
        </a:effectLst>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383961</xdr:colOff>
      <xdr:row>19</xdr:row>
      <xdr:rowOff>71</xdr:rowOff>
    </xdr:from>
    <xdr:to>
      <xdr:col>11</xdr:col>
      <xdr:colOff>578366</xdr:colOff>
      <xdr:row>33</xdr:row>
      <xdr:rowOff>175826</xdr:rowOff>
    </xdr:to>
    <xdr:graphicFrame macro="">
      <xdr:nvGraphicFramePr>
        <xdr:cNvPr id="9" name="Chart 8">
          <a:extLst>
            <a:ext uri="{FF2B5EF4-FFF2-40B4-BE49-F238E27FC236}">
              <a16:creationId xmlns:a16="http://schemas.microsoft.com/office/drawing/2014/main" id="{1DBAE535-E903-406A-A858-DA38627DA8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561623</xdr:colOff>
      <xdr:row>16</xdr:row>
      <xdr:rowOff>153812</xdr:rowOff>
    </xdr:from>
    <xdr:to>
      <xdr:col>11</xdr:col>
      <xdr:colOff>138043</xdr:colOff>
      <xdr:row>20</xdr:row>
      <xdr:rowOff>37187</xdr:rowOff>
    </xdr:to>
    <xdr:sp macro="" textlink="">
      <xdr:nvSpPr>
        <xdr:cNvPr id="12" name="TextBox 11">
          <a:extLst>
            <a:ext uri="{FF2B5EF4-FFF2-40B4-BE49-F238E27FC236}">
              <a16:creationId xmlns:a16="http://schemas.microsoft.com/office/drawing/2014/main" id="{FDE3423F-84AE-4933-9E82-2131C6F0C3CE}"/>
            </a:ext>
          </a:extLst>
        </xdr:cNvPr>
        <xdr:cNvSpPr txBox="1"/>
      </xdr:nvSpPr>
      <xdr:spPr>
        <a:xfrm>
          <a:off x="3598580" y="3025116"/>
          <a:ext cx="3220767" cy="601201"/>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2000" b="1" i="0" baseline="0">
              <a:solidFill>
                <a:srgbClr val="4B71D6"/>
              </a:solidFill>
              <a:effectLst/>
              <a:latin typeface="+mn-lt"/>
              <a:ea typeface="+mn-ea"/>
              <a:cs typeface="+mn-cs"/>
            </a:rPr>
            <a:t>Total Invoice Value Vs Paid</a:t>
          </a:r>
          <a:endParaRPr lang="en-US" sz="2000" b="1">
            <a:solidFill>
              <a:srgbClr val="4B71D6"/>
            </a:solidFill>
            <a:effectLst/>
          </a:endParaRPr>
        </a:p>
      </xdr:txBody>
    </xdr:sp>
    <xdr:clientData/>
  </xdr:twoCellAnchor>
  <xdr:twoCellAnchor>
    <xdr:from>
      <xdr:col>0</xdr:col>
      <xdr:colOff>76200</xdr:colOff>
      <xdr:row>38</xdr:row>
      <xdr:rowOff>38100</xdr:rowOff>
    </xdr:from>
    <xdr:to>
      <xdr:col>5</xdr:col>
      <xdr:colOff>95250</xdr:colOff>
      <xdr:row>48</xdr:row>
      <xdr:rowOff>161925</xdr:rowOff>
    </xdr:to>
    <xdr:sp macro="" textlink="">
      <xdr:nvSpPr>
        <xdr:cNvPr id="62" name="Rectangle: Rounded Corners 61">
          <a:extLst>
            <a:ext uri="{FF2B5EF4-FFF2-40B4-BE49-F238E27FC236}">
              <a16:creationId xmlns:a16="http://schemas.microsoft.com/office/drawing/2014/main" id="{CC6B6F67-2C83-4867-A0B0-3C5AA71D2D61}"/>
            </a:ext>
            <a:ext uri="{147F2762-F138-4A5C-976F-8EAC2B608ADB}">
              <a16:predDERef xmlns:a16="http://schemas.microsoft.com/office/drawing/2014/main" pred="{FDE3423F-84AE-4933-9E82-2131C6F0C3CE}"/>
            </a:ext>
          </a:extLst>
        </xdr:cNvPr>
        <xdr:cNvSpPr/>
      </xdr:nvSpPr>
      <xdr:spPr>
        <a:xfrm>
          <a:off x="76200" y="6915150"/>
          <a:ext cx="2924175" cy="1933575"/>
        </a:xfrm>
        <a:prstGeom prst="roundRect">
          <a:avLst/>
        </a:prstGeom>
        <a:solidFill>
          <a:srgbClr val="E7F1F9"/>
        </a:solidFill>
        <a:ln>
          <a:solidFill>
            <a:schemeClr val="bg1">
              <a:lumMod val="95000"/>
            </a:schemeClr>
          </a:solidFill>
        </a:ln>
        <a:effectLst>
          <a:outerShdw blurRad="50800" dist="38100" dir="2700000" algn="tl" rotWithShape="0">
            <a:prstClr val="black">
              <a:alpha val="40000"/>
            </a:prstClr>
          </a:outerShdw>
        </a:effectLst>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76200</xdr:colOff>
      <xdr:row>15</xdr:row>
      <xdr:rowOff>0</xdr:rowOff>
    </xdr:from>
    <xdr:to>
      <xdr:col>4</xdr:col>
      <xdr:colOff>514350</xdr:colOff>
      <xdr:row>37</xdr:row>
      <xdr:rowOff>104775</xdr:rowOff>
    </xdr:to>
    <xdr:sp macro="" textlink="">
      <xdr:nvSpPr>
        <xdr:cNvPr id="3" name="Rectangle: Rounded Corners 55">
          <a:extLst>
            <a:ext uri="{FF2B5EF4-FFF2-40B4-BE49-F238E27FC236}">
              <a16:creationId xmlns:a16="http://schemas.microsoft.com/office/drawing/2014/main" id="{301B5CED-E421-45FA-A810-D2950ABC5A75}"/>
            </a:ext>
            <a:ext uri="{147F2762-F138-4A5C-976F-8EAC2B608ADB}">
              <a16:predDERef xmlns:a16="http://schemas.microsoft.com/office/drawing/2014/main" pred="{CC6B6F67-2C83-4867-A0B0-3C5AA71D2D61}"/>
            </a:ext>
          </a:extLst>
        </xdr:cNvPr>
        <xdr:cNvSpPr/>
      </xdr:nvSpPr>
      <xdr:spPr>
        <a:xfrm>
          <a:off x="76200" y="2714625"/>
          <a:ext cx="2762250" cy="4086225"/>
        </a:xfrm>
        <a:prstGeom prst="roundRect">
          <a:avLst/>
        </a:prstGeom>
        <a:solidFill>
          <a:srgbClr val="E7F1F9"/>
        </a:solidFill>
        <a:ln>
          <a:solidFill>
            <a:schemeClr val="bg1">
              <a:lumMod val="95000"/>
            </a:schemeClr>
          </a:solidFill>
        </a:ln>
        <a:effectLst>
          <a:outerShdw blurRad="50800" dist="38100" dir="2700000" algn="tl" rotWithShape="0">
            <a:prstClr val="black">
              <a:alpha val="40000"/>
            </a:prstClr>
          </a:outerShdw>
        </a:effectLst>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marL="0" indent="0" algn="l"/>
          <a:endParaRPr lang="en-US" sz="1100">
            <a:solidFill>
              <a:schemeClr val="lt1"/>
            </a:solidFill>
            <a:latin typeface="+mn-lt"/>
            <a:ea typeface="+mn-lt"/>
            <a:cs typeface="+mn-lt"/>
          </a:endParaRPr>
        </a:p>
      </xdr:txBody>
    </xdr:sp>
    <xdr:clientData/>
  </xdr:twoCellAnchor>
  <xdr:twoCellAnchor>
    <xdr:from>
      <xdr:col>19</xdr:col>
      <xdr:colOff>94336</xdr:colOff>
      <xdr:row>15</xdr:row>
      <xdr:rowOff>130354</xdr:rowOff>
    </xdr:from>
    <xdr:to>
      <xdr:col>25</xdr:col>
      <xdr:colOff>549391</xdr:colOff>
      <xdr:row>34</xdr:row>
      <xdr:rowOff>167257</xdr:rowOff>
    </xdr:to>
    <xdr:grpSp>
      <xdr:nvGrpSpPr>
        <xdr:cNvPr id="23" name="Group 22">
          <a:extLst>
            <a:ext uri="{FF2B5EF4-FFF2-40B4-BE49-F238E27FC236}">
              <a16:creationId xmlns:a16="http://schemas.microsoft.com/office/drawing/2014/main" id="{7084CDA1-A5DF-44BA-A38F-E4AA704B4EC5}"/>
            </a:ext>
            <a:ext uri="{147F2762-F138-4A5C-976F-8EAC2B608ADB}">
              <a16:predDERef xmlns:a16="http://schemas.microsoft.com/office/drawing/2014/main" pred="{301B5CED-E421-45FA-A810-D2950ABC5A75}"/>
            </a:ext>
          </a:extLst>
        </xdr:cNvPr>
        <xdr:cNvGrpSpPr/>
      </xdr:nvGrpSpPr>
      <xdr:grpSpPr>
        <a:xfrm>
          <a:off x="11133811" y="2844979"/>
          <a:ext cx="3941205" cy="3475428"/>
          <a:chOff x="2995360" y="2878299"/>
          <a:chExt cx="3980438" cy="3324455"/>
        </a:xfrm>
      </xdr:grpSpPr>
      <xdr:sp macro="" textlink="">
        <xdr:nvSpPr>
          <xdr:cNvPr id="24" name="Rectangle: Rounded Corners 23">
            <a:extLst>
              <a:ext uri="{FF2B5EF4-FFF2-40B4-BE49-F238E27FC236}">
                <a16:creationId xmlns:a16="http://schemas.microsoft.com/office/drawing/2014/main" id="{7BFBA2AE-D899-48FF-BA82-30D09C6BAA26}"/>
              </a:ext>
            </a:extLst>
          </xdr:cNvPr>
          <xdr:cNvSpPr/>
        </xdr:nvSpPr>
        <xdr:spPr>
          <a:xfrm>
            <a:off x="2995360" y="2878299"/>
            <a:ext cx="3980438" cy="3324455"/>
          </a:xfrm>
          <a:prstGeom prst="roundRect">
            <a:avLst/>
          </a:prstGeom>
          <a:solidFill>
            <a:schemeClr val="bg1"/>
          </a:solidFill>
          <a:ln>
            <a:solidFill>
              <a:schemeClr val="bg1">
                <a:lumMod val="95000"/>
              </a:schemeClr>
            </a:solidFill>
          </a:ln>
          <a:effectLst>
            <a:outerShdw blurRad="50800" dist="38100" dir="2700000" algn="tl" rotWithShape="0">
              <a:prstClr val="black">
                <a:alpha val="40000"/>
              </a:prstClr>
            </a:outerShdw>
          </a:effectLst>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graphicFrame macro="">
        <xdr:nvGraphicFramePr>
          <xdr:cNvPr id="25" name="Chart 24">
            <a:extLst>
              <a:ext uri="{FF2B5EF4-FFF2-40B4-BE49-F238E27FC236}">
                <a16:creationId xmlns:a16="http://schemas.microsoft.com/office/drawing/2014/main" id="{B370BC75-8319-4FBA-8F9F-49D91CD43869}"/>
              </a:ext>
            </a:extLst>
          </xdr:cNvPr>
          <xdr:cNvGraphicFramePr>
            <a:graphicFrameLocks/>
          </xdr:cNvGraphicFramePr>
        </xdr:nvGraphicFramePr>
        <xdr:xfrm>
          <a:off x="3121992" y="3455773"/>
          <a:ext cx="3727174" cy="2581330"/>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26" name="TextBox 25">
            <a:extLst>
              <a:ext uri="{FF2B5EF4-FFF2-40B4-BE49-F238E27FC236}">
                <a16:creationId xmlns:a16="http://schemas.microsoft.com/office/drawing/2014/main" id="{0BA1B684-5290-4851-A55E-3354C2C73C5B}"/>
              </a:ext>
            </a:extLst>
          </xdr:cNvPr>
          <xdr:cNvSpPr txBox="1"/>
        </xdr:nvSpPr>
        <xdr:spPr>
          <a:xfrm>
            <a:off x="3572449" y="3062357"/>
            <a:ext cx="3222675" cy="396396"/>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2000" b="1" i="0" baseline="0">
                <a:solidFill>
                  <a:srgbClr val="4B71D6"/>
                </a:solidFill>
                <a:effectLst/>
                <a:latin typeface="+mn-lt"/>
                <a:ea typeface="+mn-ea"/>
                <a:cs typeface="+mn-cs"/>
              </a:rPr>
              <a:t>Total Cash Recieved By Qtr</a:t>
            </a:r>
          </a:p>
          <a:p>
            <a:pPr marL="0" marR="0" lvl="0" indent="0" defTabSz="914400" rtl="0" eaLnBrk="1" fontAlgn="auto" latinLnBrk="0" hangingPunct="1">
              <a:lnSpc>
                <a:spcPct val="100000"/>
              </a:lnSpc>
              <a:spcBef>
                <a:spcPts val="0"/>
              </a:spcBef>
              <a:spcAft>
                <a:spcPts val="0"/>
              </a:spcAft>
              <a:buClrTx/>
              <a:buSzTx/>
              <a:buFontTx/>
              <a:buNone/>
              <a:tabLst/>
              <a:defRPr/>
            </a:pPr>
            <a:endParaRPr lang="en-US" sz="2000" b="1">
              <a:solidFill>
                <a:srgbClr val="4B71D6"/>
              </a:solidFill>
              <a:effectLst/>
            </a:endParaRPr>
          </a:p>
        </xdr:txBody>
      </xdr:sp>
    </xdr:grpSp>
    <xdr:clientData/>
  </xdr:twoCellAnchor>
  <xdr:twoCellAnchor>
    <xdr:from>
      <xdr:col>12</xdr:col>
      <xdr:colOff>173612</xdr:colOff>
      <xdr:row>15</xdr:row>
      <xdr:rowOff>130354</xdr:rowOff>
    </xdr:from>
    <xdr:to>
      <xdr:col>19</xdr:col>
      <xdr:colOff>19586</xdr:colOff>
      <xdr:row>34</xdr:row>
      <xdr:rowOff>167257</xdr:rowOff>
    </xdr:to>
    <xdr:sp macro="" textlink="">
      <xdr:nvSpPr>
        <xdr:cNvPr id="20" name="Rectangle: Rounded Corners 19">
          <a:extLst>
            <a:ext uri="{FF2B5EF4-FFF2-40B4-BE49-F238E27FC236}">
              <a16:creationId xmlns:a16="http://schemas.microsoft.com/office/drawing/2014/main" id="{4DD98267-77B9-4134-9A4F-064786A8F486}"/>
            </a:ext>
            <a:ext uri="{147F2762-F138-4A5C-976F-8EAC2B608ADB}">
              <a16:predDERef xmlns:a16="http://schemas.microsoft.com/office/drawing/2014/main" pred="{7084CDA1-A5DF-44BA-A38F-E4AA704B4EC5}"/>
            </a:ext>
          </a:extLst>
        </xdr:cNvPr>
        <xdr:cNvSpPr/>
      </xdr:nvSpPr>
      <xdr:spPr>
        <a:xfrm>
          <a:off x="7500535" y="3061123"/>
          <a:ext cx="4120013" cy="3749211"/>
        </a:xfrm>
        <a:prstGeom prst="roundRect">
          <a:avLst/>
        </a:prstGeom>
        <a:solidFill>
          <a:schemeClr val="bg1"/>
        </a:solidFill>
        <a:ln>
          <a:solidFill>
            <a:schemeClr val="bg1">
              <a:lumMod val="95000"/>
            </a:schemeClr>
          </a:solidFill>
        </a:ln>
        <a:effectLst>
          <a:outerShdw blurRad="50800" dist="38100" dir="2700000" algn="tl" rotWithShape="0">
            <a:prstClr val="black">
              <a:alpha val="40000"/>
            </a:prstClr>
          </a:outerShdw>
        </a:effectLst>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marL="0" indent="0" algn="l"/>
          <a:endParaRPr lang="en-US" sz="1100">
            <a:solidFill>
              <a:schemeClr val="lt1"/>
            </a:solidFill>
            <a:latin typeface="+mn-lt"/>
            <a:ea typeface="+mn-lt"/>
            <a:cs typeface="+mn-lt"/>
          </a:endParaRPr>
        </a:p>
      </xdr:txBody>
    </xdr:sp>
    <xdr:clientData/>
  </xdr:twoCellAnchor>
  <xdr:twoCellAnchor>
    <xdr:from>
      <xdr:col>12</xdr:col>
      <xdr:colOff>304684</xdr:colOff>
      <xdr:row>19</xdr:row>
      <xdr:rowOff>71</xdr:rowOff>
    </xdr:from>
    <xdr:to>
      <xdr:col>18</xdr:col>
      <xdr:colOff>499090</xdr:colOff>
      <xdr:row>33</xdr:row>
      <xdr:rowOff>175826</xdr:rowOff>
    </xdr:to>
    <xdr:graphicFrame macro="">
      <xdr:nvGraphicFramePr>
        <xdr:cNvPr id="21" name="Chart 20">
          <a:extLst>
            <a:ext uri="{FF2B5EF4-FFF2-40B4-BE49-F238E27FC236}">
              <a16:creationId xmlns:a16="http://schemas.microsoft.com/office/drawing/2014/main" id="{E68B8E9A-CD0A-44C2-B218-A3ADB5E1F7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266700</xdr:colOff>
      <xdr:row>17</xdr:row>
      <xdr:rowOff>104775</xdr:rowOff>
    </xdr:from>
    <xdr:to>
      <xdr:col>18</xdr:col>
      <xdr:colOff>571500</xdr:colOff>
      <xdr:row>19</xdr:row>
      <xdr:rowOff>171450</xdr:rowOff>
    </xdr:to>
    <xdr:sp macro="" textlink="">
      <xdr:nvSpPr>
        <xdr:cNvPr id="22" name="TextBox 21">
          <a:extLst>
            <a:ext uri="{FF2B5EF4-FFF2-40B4-BE49-F238E27FC236}">
              <a16:creationId xmlns:a16="http://schemas.microsoft.com/office/drawing/2014/main" id="{C3962880-EFD8-49BF-93F7-0DBEC1FEC56F}"/>
            </a:ext>
            <a:ext uri="{147F2762-F138-4A5C-976F-8EAC2B608ADB}">
              <a16:predDERef xmlns:a16="http://schemas.microsoft.com/office/drawing/2014/main" pred="{E68B8E9A-CD0A-44C2-B218-A3ADB5E1F717}"/>
            </a:ext>
          </a:extLst>
        </xdr:cNvPr>
        <xdr:cNvSpPr txBox="1"/>
      </xdr:nvSpPr>
      <xdr:spPr>
        <a:xfrm>
          <a:off x="7239000" y="3181350"/>
          <a:ext cx="3790950" cy="428625"/>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2000" b="1" i="0" baseline="0">
              <a:solidFill>
                <a:srgbClr val="4B71D6"/>
              </a:solidFill>
              <a:effectLst/>
              <a:latin typeface="+mn-lt"/>
              <a:ea typeface="+mn-ea"/>
              <a:cs typeface="+mn-cs"/>
            </a:rPr>
            <a:t>Total Cash Recieved By Month</a:t>
          </a:r>
          <a:endParaRPr lang="en-US" sz="2000" b="1">
            <a:solidFill>
              <a:srgbClr val="4B71D6"/>
            </a:solidFill>
            <a:effectLst/>
          </a:endParaRPr>
        </a:p>
      </xdr:txBody>
    </xdr:sp>
    <xdr:clientData/>
  </xdr:twoCellAnchor>
  <xdr:twoCellAnchor>
    <xdr:from>
      <xdr:col>5</xdr:col>
      <xdr:colOff>294640</xdr:colOff>
      <xdr:row>35</xdr:row>
      <xdr:rowOff>144702</xdr:rowOff>
    </xdr:from>
    <xdr:to>
      <xdr:col>33</xdr:col>
      <xdr:colOff>233265</xdr:colOff>
      <xdr:row>72</xdr:row>
      <xdr:rowOff>38880</xdr:rowOff>
    </xdr:to>
    <xdr:grpSp>
      <xdr:nvGrpSpPr>
        <xdr:cNvPr id="32" name="Group 31">
          <a:extLst>
            <a:ext uri="{FF2B5EF4-FFF2-40B4-BE49-F238E27FC236}">
              <a16:creationId xmlns:a16="http://schemas.microsoft.com/office/drawing/2014/main" id="{6515168E-C2F1-49DA-BDAF-6C6BFA4D2263}"/>
            </a:ext>
            <a:ext uri="{147F2762-F138-4A5C-976F-8EAC2B608ADB}">
              <a16:predDERef xmlns:a16="http://schemas.microsoft.com/office/drawing/2014/main" pred="{C3962880-EFD8-49BF-93F7-0DBEC1FEC56F}"/>
            </a:ext>
          </a:extLst>
        </xdr:cNvPr>
        <xdr:cNvGrpSpPr/>
      </xdr:nvGrpSpPr>
      <xdr:grpSpPr>
        <a:xfrm>
          <a:off x="3199765" y="6478827"/>
          <a:ext cx="16207325" cy="6590253"/>
          <a:chOff x="3028086" y="2878299"/>
          <a:chExt cx="3980438" cy="3324455"/>
        </a:xfrm>
      </xdr:grpSpPr>
      <xdr:sp macro="" textlink="">
        <xdr:nvSpPr>
          <xdr:cNvPr id="33" name="Rectangle: Rounded Corners 32">
            <a:extLst>
              <a:ext uri="{FF2B5EF4-FFF2-40B4-BE49-F238E27FC236}">
                <a16:creationId xmlns:a16="http://schemas.microsoft.com/office/drawing/2014/main" id="{8F368C9A-0573-4DED-BB89-30DBFFB89C0E}"/>
              </a:ext>
            </a:extLst>
          </xdr:cNvPr>
          <xdr:cNvSpPr/>
        </xdr:nvSpPr>
        <xdr:spPr>
          <a:xfrm>
            <a:off x="3028086" y="2878299"/>
            <a:ext cx="3980438" cy="3324455"/>
          </a:xfrm>
          <a:prstGeom prst="roundRect">
            <a:avLst/>
          </a:prstGeom>
          <a:solidFill>
            <a:schemeClr val="bg1"/>
          </a:solidFill>
          <a:ln>
            <a:solidFill>
              <a:schemeClr val="bg1">
                <a:lumMod val="95000"/>
              </a:schemeClr>
            </a:solidFill>
          </a:ln>
          <a:effectLst>
            <a:outerShdw blurRad="50800" dist="38100" dir="2700000" algn="tl" rotWithShape="0">
              <a:prstClr val="black">
                <a:alpha val="40000"/>
              </a:prstClr>
            </a:outerShdw>
          </a:effectLst>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35" name="TextBox 34">
            <a:extLst>
              <a:ext uri="{FF2B5EF4-FFF2-40B4-BE49-F238E27FC236}">
                <a16:creationId xmlns:a16="http://schemas.microsoft.com/office/drawing/2014/main" id="{0237469F-FD12-43D1-89E1-B86C05C6BA98}"/>
              </a:ext>
            </a:extLst>
          </xdr:cNvPr>
          <xdr:cNvSpPr txBox="1"/>
        </xdr:nvSpPr>
        <xdr:spPr>
          <a:xfrm>
            <a:off x="4530429" y="2936702"/>
            <a:ext cx="1421470" cy="482415"/>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2000" b="1" i="0" baseline="0">
                <a:solidFill>
                  <a:srgbClr val="4B71D6"/>
                </a:solidFill>
                <a:effectLst/>
                <a:latin typeface="+mn-lt"/>
                <a:ea typeface="+mn-ea"/>
                <a:cs typeface="+mn-cs"/>
              </a:rPr>
              <a:t>Cash Receieved Vs Outstanding by Client</a:t>
            </a:r>
          </a:p>
        </xdr:txBody>
      </xdr:sp>
    </xdr:grpSp>
    <xdr:clientData/>
  </xdr:twoCellAnchor>
  <xdr:twoCellAnchor>
    <xdr:from>
      <xdr:col>4</xdr:col>
      <xdr:colOff>564748</xdr:colOff>
      <xdr:row>36</xdr:row>
      <xdr:rowOff>180639</xdr:rowOff>
    </xdr:from>
    <xdr:to>
      <xdr:col>32</xdr:col>
      <xdr:colOff>36286</xdr:colOff>
      <xdr:row>70</xdr:row>
      <xdr:rowOff>172357</xdr:rowOff>
    </xdr:to>
    <xdr:graphicFrame macro="">
      <xdr:nvGraphicFramePr>
        <xdr:cNvPr id="38" name="Chart 37">
          <a:extLst>
            <a:ext uri="{FF2B5EF4-FFF2-40B4-BE49-F238E27FC236}">
              <a16:creationId xmlns:a16="http://schemas.microsoft.com/office/drawing/2014/main" id="{F5313EF1-9DFB-401B-BCDB-10B144592AE6}"/>
            </a:ext>
            <a:ext uri="{147F2762-F138-4A5C-976F-8EAC2B608ADB}">
              <a16:predDERef xmlns:a16="http://schemas.microsoft.com/office/drawing/2014/main" pred="{6515168E-C2F1-49DA-BDAF-6C6BFA4D22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15060</xdr:colOff>
      <xdr:row>15</xdr:row>
      <xdr:rowOff>130354</xdr:rowOff>
    </xdr:from>
    <xdr:to>
      <xdr:col>32</xdr:col>
      <xdr:colOff>470116</xdr:colOff>
      <xdr:row>34</xdr:row>
      <xdr:rowOff>171813</xdr:rowOff>
    </xdr:to>
    <xdr:sp macro="" textlink="">
      <xdr:nvSpPr>
        <xdr:cNvPr id="40" name="Rectangle: Rounded Corners 39">
          <a:extLst>
            <a:ext uri="{FF2B5EF4-FFF2-40B4-BE49-F238E27FC236}">
              <a16:creationId xmlns:a16="http://schemas.microsoft.com/office/drawing/2014/main" id="{D6A46A9D-440F-464A-8D62-F6387E70CCB1}"/>
            </a:ext>
          </a:extLst>
        </xdr:cNvPr>
        <xdr:cNvSpPr/>
      </xdr:nvSpPr>
      <xdr:spPr>
        <a:xfrm>
          <a:off x="15851182" y="2851783"/>
          <a:ext cx="4109546" cy="3488601"/>
        </a:xfrm>
        <a:prstGeom prst="roundRect">
          <a:avLst/>
        </a:prstGeom>
        <a:solidFill>
          <a:schemeClr val="bg1"/>
        </a:solidFill>
        <a:ln>
          <a:solidFill>
            <a:schemeClr val="bg1">
              <a:lumMod val="95000"/>
            </a:schemeClr>
          </a:solidFill>
        </a:ln>
        <a:effectLst>
          <a:outerShdw blurRad="50800" dist="38100" dir="2700000" algn="tl" rotWithShape="0">
            <a:prstClr val="black">
              <a:alpha val="40000"/>
            </a:prstClr>
          </a:outerShdw>
        </a:effectLst>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280158</xdr:colOff>
      <xdr:row>16</xdr:row>
      <xdr:rowOff>116152</xdr:rowOff>
    </xdr:from>
    <xdr:to>
      <xdr:col>32</xdr:col>
      <xdr:colOff>375817</xdr:colOff>
      <xdr:row>20</xdr:row>
      <xdr:rowOff>129591</xdr:rowOff>
    </xdr:to>
    <xdr:sp macro="" textlink="">
      <xdr:nvSpPr>
        <xdr:cNvPr id="42" name="TextBox 41">
          <a:extLst>
            <a:ext uri="{FF2B5EF4-FFF2-40B4-BE49-F238E27FC236}">
              <a16:creationId xmlns:a16="http://schemas.microsoft.com/office/drawing/2014/main" id="{226CF84C-6A32-42E3-A219-BC3EC1B9DBEA}"/>
            </a:ext>
          </a:extLst>
        </xdr:cNvPr>
        <xdr:cNvSpPr txBox="1"/>
      </xdr:nvSpPr>
      <xdr:spPr>
        <a:xfrm>
          <a:off x="16116280" y="3019009"/>
          <a:ext cx="3750149" cy="7391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800" b="1" i="0" baseline="0">
              <a:solidFill>
                <a:srgbClr val="4B71D6"/>
              </a:solidFill>
              <a:effectLst/>
              <a:latin typeface="+mn-lt"/>
              <a:ea typeface="+mn-ea"/>
              <a:cs typeface="+mn-cs"/>
            </a:rPr>
            <a:t>Cash Receieved Vs Outstanding by Month</a:t>
          </a:r>
        </a:p>
      </xdr:txBody>
    </xdr:sp>
    <xdr:clientData/>
  </xdr:twoCellAnchor>
  <xdr:twoCellAnchor>
    <xdr:from>
      <xdr:col>26</xdr:col>
      <xdr:colOff>145799</xdr:colOff>
      <xdr:row>19</xdr:row>
      <xdr:rowOff>10627</xdr:rowOff>
    </xdr:from>
    <xdr:to>
      <xdr:col>32</xdr:col>
      <xdr:colOff>339376</xdr:colOff>
      <xdr:row>33</xdr:row>
      <xdr:rowOff>179411</xdr:rowOff>
    </xdr:to>
    <xdr:graphicFrame macro="">
      <xdr:nvGraphicFramePr>
        <xdr:cNvPr id="41" name="Chart 40">
          <a:extLst>
            <a:ext uri="{FF2B5EF4-FFF2-40B4-BE49-F238E27FC236}">
              <a16:creationId xmlns:a16="http://schemas.microsoft.com/office/drawing/2014/main" id="{0B99BC37-3449-4BD2-9892-EBC6FCB0C8AC}"/>
            </a:ext>
            <a:ext uri="{147F2762-F138-4A5C-976F-8EAC2B608ADB}">
              <a16:predDERef xmlns:a16="http://schemas.microsoft.com/office/drawing/2014/main" pred="{226CF84C-6A32-42E3-A219-BC3EC1B9DB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176066</xdr:colOff>
      <xdr:row>2</xdr:row>
      <xdr:rowOff>112585</xdr:rowOff>
    </xdr:from>
    <xdr:to>
      <xdr:col>31</xdr:col>
      <xdr:colOff>450008</xdr:colOff>
      <xdr:row>6</xdr:row>
      <xdr:rowOff>181753</xdr:rowOff>
    </xdr:to>
    <xdr:sp macro="" textlink="">
      <xdr:nvSpPr>
        <xdr:cNvPr id="53" name="TextBox 52">
          <a:extLst>
            <a:ext uri="{FF2B5EF4-FFF2-40B4-BE49-F238E27FC236}">
              <a16:creationId xmlns:a16="http://schemas.microsoft.com/office/drawing/2014/main" id="{CCA90B39-4D7F-4D27-95AC-220BD27295C7}"/>
            </a:ext>
          </a:extLst>
        </xdr:cNvPr>
        <xdr:cNvSpPr txBox="1"/>
      </xdr:nvSpPr>
      <xdr:spPr>
        <a:xfrm>
          <a:off x="5002066" y="493585"/>
          <a:ext cx="14148692" cy="8311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000" b="1">
              <a:solidFill>
                <a:schemeClr val="tx1">
                  <a:lumMod val="50000"/>
                  <a:lumOff val="50000"/>
                </a:schemeClr>
              </a:solidFill>
              <a:latin typeface="Lato" panose="020F0502020204030203" pitchFamily="34" charset="0"/>
            </a:rPr>
            <a:t>Gadget Sales Insights Dashboard</a:t>
          </a:r>
        </a:p>
      </xdr:txBody>
    </xdr:sp>
    <xdr:clientData/>
  </xdr:twoCellAnchor>
  <xdr:twoCellAnchor>
    <xdr:from>
      <xdr:col>33</xdr:col>
      <xdr:colOff>311057</xdr:colOff>
      <xdr:row>14</xdr:row>
      <xdr:rowOff>68087</xdr:rowOff>
    </xdr:from>
    <xdr:to>
      <xdr:col>39</xdr:col>
      <xdr:colOff>504633</xdr:colOff>
      <xdr:row>29</xdr:row>
      <xdr:rowOff>51905</xdr:rowOff>
    </xdr:to>
    <xdr:graphicFrame macro="">
      <xdr:nvGraphicFramePr>
        <xdr:cNvPr id="57" name="Chart 56">
          <a:extLst>
            <a:ext uri="{FF2B5EF4-FFF2-40B4-BE49-F238E27FC236}">
              <a16:creationId xmlns:a16="http://schemas.microsoft.com/office/drawing/2014/main" id="{657F0658-1930-4135-B43F-5B6F4EF76F80}"/>
            </a:ext>
            <a:ext uri="{147F2762-F138-4A5C-976F-8EAC2B608ADB}">
              <a16:predDERef xmlns:a16="http://schemas.microsoft.com/office/drawing/2014/main" pred="{CCA90B39-4D7F-4D27-95AC-220BD27295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57150</xdr:colOff>
      <xdr:row>49</xdr:row>
      <xdr:rowOff>95250</xdr:rowOff>
    </xdr:from>
    <xdr:to>
      <xdr:col>5</xdr:col>
      <xdr:colOff>171450</xdr:colOff>
      <xdr:row>69</xdr:row>
      <xdr:rowOff>85725</xdr:rowOff>
    </xdr:to>
    <xdr:sp macro="" textlink="">
      <xdr:nvSpPr>
        <xdr:cNvPr id="59" name="Rectangle: Rounded Corners 58">
          <a:extLst>
            <a:ext uri="{FF2B5EF4-FFF2-40B4-BE49-F238E27FC236}">
              <a16:creationId xmlns:a16="http://schemas.microsoft.com/office/drawing/2014/main" id="{8094E8D4-995E-48B0-B7A6-F03B9612AA6F}"/>
            </a:ext>
            <a:ext uri="{147F2762-F138-4A5C-976F-8EAC2B608ADB}">
              <a16:predDERef xmlns:a16="http://schemas.microsoft.com/office/drawing/2014/main" pred="{657F0658-1930-4135-B43F-5B6F4EF76F80}"/>
            </a:ext>
          </a:extLst>
        </xdr:cNvPr>
        <xdr:cNvSpPr/>
      </xdr:nvSpPr>
      <xdr:spPr>
        <a:xfrm>
          <a:off x="57150" y="8963025"/>
          <a:ext cx="3019425" cy="3609975"/>
        </a:xfrm>
        <a:prstGeom prst="roundRect">
          <a:avLst/>
        </a:prstGeom>
        <a:solidFill>
          <a:srgbClr val="E7F1F9"/>
        </a:solidFill>
        <a:ln>
          <a:solidFill>
            <a:schemeClr val="bg1">
              <a:lumMod val="95000"/>
            </a:schemeClr>
          </a:solidFill>
        </a:ln>
        <a:effectLst>
          <a:outerShdw blurRad="50800" dist="38100" dir="2700000" algn="tl" rotWithShape="0">
            <a:prstClr val="black">
              <a:alpha val="40000"/>
            </a:prstClr>
          </a:outerShdw>
        </a:effectLst>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marL="0" indent="0" algn="l"/>
          <a:endParaRPr lang="en-US" sz="1100">
            <a:solidFill>
              <a:schemeClr val="lt1"/>
            </a:solidFill>
            <a:latin typeface="+mn-lt"/>
            <a:ea typeface="+mn-lt"/>
            <a:cs typeface="+mn-lt"/>
          </a:endParaRPr>
        </a:p>
      </xdr:txBody>
    </xdr:sp>
    <xdr:clientData/>
  </xdr:twoCellAnchor>
  <xdr:twoCellAnchor>
    <xdr:from>
      <xdr:col>0</xdr:col>
      <xdr:colOff>257175</xdr:colOff>
      <xdr:row>50</xdr:row>
      <xdr:rowOff>133350</xdr:rowOff>
    </xdr:from>
    <xdr:to>
      <xdr:col>4</xdr:col>
      <xdr:colOff>561975</xdr:colOff>
      <xdr:row>69</xdr:row>
      <xdr:rowOff>28575</xdr:rowOff>
    </xdr:to>
    <mc:AlternateContent xmlns:mc="http://schemas.openxmlformats.org/markup-compatibility/2006" xmlns:a14="http://schemas.microsoft.com/office/drawing/2010/main">
      <mc:Choice Requires="a14">
        <xdr:graphicFrame macro="">
          <xdr:nvGraphicFramePr>
            <xdr:cNvPr id="16" name="Month 1">
              <a:extLst>
                <a:ext uri="{FF2B5EF4-FFF2-40B4-BE49-F238E27FC236}">
                  <a16:creationId xmlns:a16="http://schemas.microsoft.com/office/drawing/2014/main" id="{DD15032A-5D5D-4331-BC31-6D2D9C146FBB}"/>
                </a:ext>
                <a:ext uri="{147F2762-F138-4A5C-976F-8EAC2B608ADB}">
                  <a16:predDERef xmlns:a16="http://schemas.microsoft.com/office/drawing/2014/main" pred="{8094E8D4-995E-48B0-B7A6-F03B9612AA6F}"/>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209258" y="9278389"/>
              <a:ext cx="2735008" cy="40569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144514</xdr:colOff>
      <xdr:row>7</xdr:row>
      <xdr:rowOff>170835</xdr:rowOff>
    </xdr:from>
    <xdr:to>
      <xdr:col>22</xdr:col>
      <xdr:colOff>402441</xdr:colOff>
      <xdr:row>13</xdr:row>
      <xdr:rowOff>81651</xdr:rowOff>
    </xdr:to>
    <xdr:sp macro="" textlink="">
      <xdr:nvSpPr>
        <xdr:cNvPr id="43" name="Rectangle: Rounded Corners 42">
          <a:extLst>
            <a:ext uri="{FF2B5EF4-FFF2-40B4-BE49-F238E27FC236}">
              <a16:creationId xmlns:a16="http://schemas.microsoft.com/office/drawing/2014/main" id="{D443E77D-5E2F-4485-B077-5ABBC10E517F}"/>
            </a:ext>
          </a:extLst>
        </xdr:cNvPr>
        <xdr:cNvSpPr/>
      </xdr:nvSpPr>
      <xdr:spPr>
        <a:xfrm>
          <a:off x="9889820" y="1440835"/>
          <a:ext cx="3912417" cy="999387"/>
        </a:xfrm>
        <a:prstGeom prst="roundRect">
          <a:avLst>
            <a:gd name="adj" fmla="val 31968"/>
          </a:avLst>
        </a:prstGeom>
        <a:solidFill>
          <a:schemeClr val="bg1"/>
        </a:solidFill>
        <a:ln>
          <a:solidFill>
            <a:schemeClr val="bg1">
              <a:lumMod val="95000"/>
            </a:schemeClr>
          </a:solidFill>
        </a:ln>
        <a:effectLst>
          <a:outerShdw blurRad="50800" dist="38100" dir="2700000" algn="tl" rotWithShape="0">
            <a:prstClr val="black">
              <a:alpha val="40000"/>
            </a:prstClr>
          </a:outerShdw>
        </a:effectLst>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100937</xdr:colOff>
      <xdr:row>8</xdr:row>
      <xdr:rowOff>111488</xdr:rowOff>
    </xdr:from>
    <xdr:to>
      <xdr:col>22</xdr:col>
      <xdr:colOff>84458</xdr:colOff>
      <xdr:row>12</xdr:row>
      <xdr:rowOff>112259</xdr:rowOff>
    </xdr:to>
    <xdr:sp macro="" textlink="UnitsSolds">
      <xdr:nvSpPr>
        <xdr:cNvPr id="5" name="Rectangle: Rounded Corners 4">
          <a:extLst>
            <a:ext uri="{FF2B5EF4-FFF2-40B4-BE49-F238E27FC236}">
              <a16:creationId xmlns:a16="http://schemas.microsoft.com/office/drawing/2014/main" id="{1C64AF2F-C167-4549-8585-F0D3CE412458}"/>
            </a:ext>
          </a:extLst>
        </xdr:cNvPr>
        <xdr:cNvSpPr/>
      </xdr:nvSpPr>
      <xdr:spPr>
        <a:xfrm>
          <a:off x="12363006" y="1512867"/>
          <a:ext cx="1209728" cy="701461"/>
        </a:xfrm>
        <a:prstGeom prst="roundRect">
          <a:avLst/>
        </a:prstGeom>
        <a:solidFill>
          <a:srgbClr val="00C4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CBFB4ABC-BCD9-4FE1-A534-59544F4CC539}" type="TxLink">
            <a:rPr lang="en-US" sz="3200" b="1" i="0" u="none" strike="noStrike">
              <a:solidFill>
                <a:schemeClr val="bg1"/>
              </a:solidFill>
              <a:effectLst/>
              <a:latin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3164</a:t>
          </a:fld>
          <a:endParaRPr lang="en-US" sz="8800" b="1">
            <a:solidFill>
              <a:schemeClr val="bg1"/>
            </a:solidFill>
            <a:effectLst/>
            <a:latin typeface="Lato" panose="020F0502020204030203" pitchFamily="34" charset="0"/>
          </a:endParaRPr>
        </a:p>
      </xdr:txBody>
    </xdr:sp>
    <xdr:clientData/>
  </xdr:twoCellAnchor>
  <xdr:twoCellAnchor>
    <xdr:from>
      <xdr:col>17</xdr:col>
      <xdr:colOff>179490</xdr:colOff>
      <xdr:row>7</xdr:row>
      <xdr:rowOff>176478</xdr:rowOff>
    </xdr:from>
    <xdr:to>
      <xdr:col>20</xdr:col>
      <xdr:colOff>64796</xdr:colOff>
      <xdr:row>12</xdr:row>
      <xdr:rowOff>179681</xdr:rowOff>
    </xdr:to>
    <xdr:sp macro="" textlink="SUMMARY!AV74">
      <xdr:nvSpPr>
        <xdr:cNvPr id="44" name="Rectangle: Rounded Corners 43">
          <a:extLst>
            <a:ext uri="{FF2B5EF4-FFF2-40B4-BE49-F238E27FC236}">
              <a16:creationId xmlns:a16="http://schemas.microsoft.com/office/drawing/2014/main" id="{065EF880-3655-4ADF-9DD9-2DF3B7612411}"/>
            </a:ext>
          </a:extLst>
        </xdr:cNvPr>
        <xdr:cNvSpPr/>
      </xdr:nvSpPr>
      <xdr:spPr>
        <a:xfrm>
          <a:off x="10533878" y="1446478"/>
          <a:ext cx="1712551" cy="910346"/>
        </a:xfrm>
        <a:prstGeom prst="round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US" sz="1800" b="1">
              <a:solidFill>
                <a:srgbClr val="4B71D6"/>
              </a:solidFill>
              <a:effectLst/>
            </a:rPr>
            <a:t>Number of</a:t>
          </a:r>
          <a:r>
            <a:rPr lang="en-US" sz="1800" b="1" baseline="0">
              <a:solidFill>
                <a:srgbClr val="4B71D6"/>
              </a:solidFill>
              <a:effectLst/>
            </a:rPr>
            <a:t> Units Sold:</a:t>
          </a:r>
          <a:endParaRPr lang="en-US" sz="1800" b="1">
            <a:solidFill>
              <a:srgbClr val="4B71D6"/>
            </a:solidFill>
            <a:effectLst/>
          </a:endParaRPr>
        </a:p>
      </xdr:txBody>
    </xdr:sp>
    <xdr:clientData/>
  </xdr:twoCellAnchor>
  <xdr:twoCellAnchor editAs="oneCell">
    <xdr:from>
      <xdr:col>0</xdr:col>
      <xdr:colOff>247650</xdr:colOff>
      <xdr:row>39</xdr:row>
      <xdr:rowOff>28575</xdr:rowOff>
    </xdr:from>
    <xdr:to>
      <xdr:col>4</xdr:col>
      <xdr:colOff>533400</xdr:colOff>
      <xdr:row>48</xdr:row>
      <xdr:rowOff>133350</xdr:rowOff>
    </xdr:to>
    <mc:AlternateContent xmlns:mc="http://schemas.openxmlformats.org/markup-compatibility/2006" xmlns:a14="http://schemas.microsoft.com/office/drawing/2010/main">
      <mc:Choice Requires="a14">
        <xdr:graphicFrame macro="">
          <xdr:nvGraphicFramePr>
            <xdr:cNvPr id="30" name="QTR 1">
              <a:extLst>
                <a:ext uri="{FF2B5EF4-FFF2-40B4-BE49-F238E27FC236}">
                  <a16:creationId xmlns:a16="http://schemas.microsoft.com/office/drawing/2014/main" id="{86DCA4CD-F414-43A9-947D-5C9188234062}"/>
                </a:ext>
                <a:ext uri="{147F2762-F138-4A5C-976F-8EAC2B608ADB}">
                  <a16:predDERef xmlns:a16="http://schemas.microsoft.com/office/drawing/2014/main" pred="{065EF880-3655-4ADF-9DD9-2DF3B7612411}"/>
                </a:ext>
              </a:extLst>
            </xdr:cNvPr>
            <xdr:cNvGraphicFramePr/>
          </xdr:nvGraphicFramePr>
          <xdr:xfrm>
            <a:off x="0" y="0"/>
            <a:ext cx="0" cy="0"/>
          </xdr:xfrm>
          <a:graphic>
            <a:graphicData uri="http://schemas.microsoft.com/office/drawing/2010/slicer">
              <sle:slicer xmlns:sle="http://schemas.microsoft.com/office/drawing/2010/slicer" name="QTR 1"/>
            </a:graphicData>
          </a:graphic>
        </xdr:graphicFrame>
      </mc:Choice>
      <mc:Fallback xmlns="">
        <xdr:sp macro="" textlink="">
          <xdr:nvSpPr>
            <xdr:cNvPr id="0" name=""/>
            <xdr:cNvSpPr>
              <a:spLocks noTextEdit="1"/>
            </xdr:cNvSpPr>
          </xdr:nvSpPr>
          <xdr:spPr>
            <a:xfrm>
              <a:off x="450063" y="7423862"/>
              <a:ext cx="2521015" cy="1510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171450</xdr:colOff>
      <xdr:row>16</xdr:row>
      <xdr:rowOff>95250</xdr:rowOff>
    </xdr:from>
    <xdr:to>
      <xdr:col>4</xdr:col>
      <xdr:colOff>447675</xdr:colOff>
      <xdr:row>36</xdr:row>
      <xdr:rowOff>57150</xdr:rowOff>
    </xdr:to>
    <mc:AlternateContent xmlns:mc="http://schemas.openxmlformats.org/markup-compatibility/2006" xmlns:a14="http://schemas.microsoft.com/office/drawing/2010/main">
      <mc:Choice Requires="a14">
        <xdr:graphicFrame macro="">
          <xdr:nvGraphicFramePr>
            <xdr:cNvPr id="31" name="CLIENT">
              <a:extLst>
                <a:ext uri="{FF2B5EF4-FFF2-40B4-BE49-F238E27FC236}">
                  <a16:creationId xmlns:a16="http://schemas.microsoft.com/office/drawing/2014/main" id="{569F2D88-D2DB-48BF-A145-2450A9FB5B42}"/>
                </a:ext>
                <a:ext uri="{147F2762-F138-4A5C-976F-8EAC2B608ADB}">
                  <a16:predDERef xmlns:a16="http://schemas.microsoft.com/office/drawing/2014/main" pred="{86DCA4CD-F414-43A9-947D-5C9188234062}"/>
                </a:ext>
              </a:extLst>
            </xdr:cNvPr>
            <xdr:cNvGraphicFramePr/>
          </xdr:nvGraphicFramePr>
          <xdr:xfrm>
            <a:off x="0" y="0"/>
            <a:ext cx="0" cy="0"/>
          </xdr:xfrm>
          <a:graphic>
            <a:graphicData uri="http://schemas.microsoft.com/office/drawing/2010/slicer">
              <sle:slicer xmlns:sle="http://schemas.microsoft.com/office/drawing/2010/slicer" name="CLIENT"/>
            </a:graphicData>
          </a:graphic>
        </xdr:graphicFrame>
      </mc:Choice>
      <mc:Fallback xmlns="">
        <xdr:sp macro="" textlink="">
          <xdr:nvSpPr>
            <xdr:cNvPr id="0" name=""/>
            <xdr:cNvSpPr>
              <a:spLocks noTextEdit="1"/>
            </xdr:cNvSpPr>
          </xdr:nvSpPr>
          <xdr:spPr>
            <a:xfrm>
              <a:off x="622221" y="2859264"/>
              <a:ext cx="2103676" cy="4203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xdr:colOff>
      <xdr:row>5</xdr:row>
      <xdr:rowOff>83555</xdr:rowOff>
    </xdr:from>
    <xdr:to>
      <xdr:col>5</xdr:col>
      <xdr:colOff>220870</xdr:colOff>
      <xdr:row>7</xdr:row>
      <xdr:rowOff>151847</xdr:rowOff>
    </xdr:to>
    <xdr:sp macro="" textlink="">
      <xdr:nvSpPr>
        <xdr:cNvPr id="34" name="TextBox 33">
          <a:extLst>
            <a:ext uri="{FF2B5EF4-FFF2-40B4-BE49-F238E27FC236}">
              <a16:creationId xmlns:a16="http://schemas.microsoft.com/office/drawing/2014/main" id="{DA2ABD53-8033-4FE0-8396-3D030A05A69C}"/>
            </a:ext>
          </a:extLst>
        </xdr:cNvPr>
        <xdr:cNvSpPr txBox="1"/>
      </xdr:nvSpPr>
      <xdr:spPr>
        <a:xfrm>
          <a:off x="1" y="980838"/>
          <a:ext cx="3257826" cy="427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a:solidFill>
                <a:schemeClr val="tx1">
                  <a:lumMod val="50000"/>
                  <a:lumOff val="50000"/>
                </a:schemeClr>
              </a:solidFill>
            </a:rPr>
            <a:t>NovaTech Solutions</a:t>
          </a:r>
          <a:endParaRPr lang="en-US" sz="2400" b="1">
            <a:solidFill>
              <a:schemeClr val="tx1">
                <a:lumMod val="50000"/>
                <a:lumOff val="50000"/>
              </a:schemeClr>
            </a:solidFill>
            <a:latin typeface="Lato" panose="020F0502020204030203" pitchFamily="34" charset="0"/>
          </a:endParaRPr>
        </a:p>
      </xdr:txBody>
    </xdr:sp>
    <xdr:clientData/>
  </xdr:twoCellAnchor>
  <xdr:twoCellAnchor editAs="oneCell">
    <xdr:from>
      <xdr:col>1</xdr:col>
      <xdr:colOff>561163</xdr:colOff>
      <xdr:row>1</xdr:row>
      <xdr:rowOff>0</xdr:rowOff>
    </xdr:from>
    <xdr:to>
      <xdr:col>4</xdr:col>
      <xdr:colOff>103373</xdr:colOff>
      <xdr:row>5</xdr:row>
      <xdr:rowOff>32341</xdr:rowOff>
    </xdr:to>
    <xdr:pic>
      <xdr:nvPicPr>
        <xdr:cNvPr id="36" name="Picture 35">
          <a:extLst>
            <a:ext uri="{FF2B5EF4-FFF2-40B4-BE49-F238E27FC236}">
              <a16:creationId xmlns:a16="http://schemas.microsoft.com/office/drawing/2014/main" id="{B0C8F423-29E6-4230-956D-5E100DC2721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166628" y="177209"/>
          <a:ext cx="1358605" cy="74117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549274</xdr:colOff>
      <xdr:row>3</xdr:row>
      <xdr:rowOff>168274</xdr:rowOff>
    </xdr:from>
    <xdr:to>
      <xdr:col>12</xdr:col>
      <xdr:colOff>228599</xdr:colOff>
      <xdr:row>20</xdr:row>
      <xdr:rowOff>171449</xdr:rowOff>
    </xdr:to>
    <xdr:graphicFrame macro="">
      <xdr:nvGraphicFramePr>
        <xdr:cNvPr id="3" name="Chart 2">
          <a:extLst>
            <a:ext uri="{FF2B5EF4-FFF2-40B4-BE49-F238E27FC236}">
              <a16:creationId xmlns:a16="http://schemas.microsoft.com/office/drawing/2014/main" id="{1467A08C-5C14-4CCA-8F90-72A1D2CE32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57150</xdr:colOff>
      <xdr:row>1</xdr:row>
      <xdr:rowOff>19050</xdr:rowOff>
    </xdr:from>
    <xdr:to>
      <xdr:col>15</xdr:col>
      <xdr:colOff>123825</xdr:colOff>
      <xdr:row>24</xdr:row>
      <xdr:rowOff>161925</xdr:rowOff>
    </xdr:to>
    <xdr:graphicFrame macro="">
      <xdr:nvGraphicFramePr>
        <xdr:cNvPr id="3" name="Chart 2">
          <a:extLst>
            <a:ext uri="{FF2B5EF4-FFF2-40B4-BE49-F238E27FC236}">
              <a16:creationId xmlns:a16="http://schemas.microsoft.com/office/drawing/2014/main" id="{A0EA52FB-3BEF-1990-3B2F-D777283B42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425450</xdr:colOff>
      <xdr:row>0</xdr:row>
      <xdr:rowOff>85724</xdr:rowOff>
    </xdr:from>
    <xdr:to>
      <xdr:col>11</xdr:col>
      <xdr:colOff>95250</xdr:colOff>
      <xdr:row>16</xdr:row>
      <xdr:rowOff>165099</xdr:rowOff>
    </xdr:to>
    <xdr:graphicFrame macro="">
      <xdr:nvGraphicFramePr>
        <xdr:cNvPr id="2" name="Chart 1">
          <a:extLst>
            <a:ext uri="{FF2B5EF4-FFF2-40B4-BE49-F238E27FC236}">
              <a16:creationId xmlns:a16="http://schemas.microsoft.com/office/drawing/2014/main" id="{F12E5A5F-0E93-4967-AA26-851756B0CB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352425</xdr:colOff>
      <xdr:row>4</xdr:row>
      <xdr:rowOff>123825</xdr:rowOff>
    </xdr:from>
    <xdr:to>
      <xdr:col>10</xdr:col>
      <xdr:colOff>47625</xdr:colOff>
      <xdr:row>19</xdr:row>
      <xdr:rowOff>104775</xdr:rowOff>
    </xdr:to>
    <xdr:graphicFrame macro="">
      <xdr:nvGraphicFramePr>
        <xdr:cNvPr id="2" name="Chart 1">
          <a:extLst>
            <a:ext uri="{FF2B5EF4-FFF2-40B4-BE49-F238E27FC236}">
              <a16:creationId xmlns:a16="http://schemas.microsoft.com/office/drawing/2014/main" id="{E95DB9CA-A775-46FB-AB12-37DC003CAF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133350</xdr:colOff>
      <xdr:row>3</xdr:row>
      <xdr:rowOff>127000</xdr:rowOff>
    </xdr:from>
    <xdr:to>
      <xdr:col>9</xdr:col>
      <xdr:colOff>133350</xdr:colOff>
      <xdr:row>17</xdr:row>
      <xdr:rowOff>73025</xdr:rowOff>
    </xdr:to>
    <mc:AlternateContent xmlns:mc="http://schemas.openxmlformats.org/markup-compatibility/2006" xmlns:a14="http://schemas.microsoft.com/office/drawing/2010/main">
      <mc:Choice Requires="a14">
        <xdr:graphicFrame macro="">
          <xdr:nvGraphicFramePr>
            <xdr:cNvPr id="3" name="QTR">
              <a:extLst>
                <a:ext uri="{FF2B5EF4-FFF2-40B4-BE49-F238E27FC236}">
                  <a16:creationId xmlns:a16="http://schemas.microsoft.com/office/drawing/2014/main" id="{467BD85D-7F4B-4774-BC9E-0EF45E21E5AC}"/>
                </a:ext>
              </a:extLst>
            </xdr:cNvPr>
            <xdr:cNvGraphicFramePr/>
          </xdr:nvGraphicFramePr>
          <xdr:xfrm>
            <a:off x="0" y="0"/>
            <a:ext cx="0" cy="0"/>
          </xdr:xfrm>
          <a:graphic>
            <a:graphicData uri="http://schemas.microsoft.com/office/drawing/2010/slicer">
              <sle:slicer xmlns:sle="http://schemas.microsoft.com/office/drawing/2010/slicer" name="QTR"/>
            </a:graphicData>
          </a:graphic>
        </xdr:graphicFrame>
      </mc:Choice>
      <mc:Fallback xmlns="">
        <xdr:sp macro="" textlink="">
          <xdr:nvSpPr>
            <xdr:cNvPr id="0" name=""/>
            <xdr:cNvSpPr>
              <a:spLocks noTextEdit="1"/>
            </xdr:cNvSpPr>
          </xdr:nvSpPr>
          <xdr:spPr>
            <a:xfrm>
              <a:off x="5080000" y="679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98424</xdr:colOff>
      <xdr:row>2</xdr:row>
      <xdr:rowOff>174624</xdr:rowOff>
    </xdr:from>
    <xdr:to>
      <xdr:col>11</xdr:col>
      <xdr:colOff>25399</xdr:colOff>
      <xdr:row>18</xdr:row>
      <xdr:rowOff>114299</xdr:rowOff>
    </xdr:to>
    <xdr:graphicFrame macro="">
      <xdr:nvGraphicFramePr>
        <xdr:cNvPr id="3" name="Chart 2">
          <a:extLst>
            <a:ext uri="{FF2B5EF4-FFF2-40B4-BE49-F238E27FC236}">
              <a16:creationId xmlns:a16="http://schemas.microsoft.com/office/drawing/2014/main" id="{F7B117CA-DE7D-42EE-9690-3A624D631A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47625</xdr:colOff>
      <xdr:row>0</xdr:row>
      <xdr:rowOff>-1514475</xdr:rowOff>
    </xdr:from>
    <xdr:to>
      <xdr:col>6</xdr:col>
      <xdr:colOff>47625</xdr:colOff>
      <xdr:row>0</xdr:row>
      <xdr:rowOff>-1514475</xdr:rowOff>
    </xdr:to>
    <xdr:graphicFrame macro="">
      <xdr:nvGraphicFramePr>
        <xdr:cNvPr id="2" name="Chart 1">
          <a:extLst>
            <a:ext uri="{FF2B5EF4-FFF2-40B4-BE49-F238E27FC236}">
              <a16:creationId xmlns:a16="http://schemas.microsoft.com/office/drawing/2014/main" id="{1ECA0680-088F-4131-B2A3-319EEA1918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428625</xdr:colOff>
      <xdr:row>36</xdr:row>
      <xdr:rowOff>114300</xdr:rowOff>
    </xdr:from>
    <xdr:to>
      <xdr:col>11</xdr:col>
      <xdr:colOff>428625</xdr:colOff>
      <xdr:row>51</xdr:row>
      <xdr:rowOff>38100</xdr:rowOff>
    </xdr:to>
    <mc:AlternateContent xmlns:mc="http://schemas.openxmlformats.org/markup-compatibility/2006" xmlns:a14="http://schemas.microsoft.com/office/drawing/2010/main">
      <mc:Choice Requires="a14">
        <xdr:graphicFrame macro="">
          <xdr:nvGraphicFramePr>
            <xdr:cNvPr id="4" name="Month 2">
              <a:extLst>
                <a:ext uri="{FF2B5EF4-FFF2-40B4-BE49-F238E27FC236}">
                  <a16:creationId xmlns:a16="http://schemas.microsoft.com/office/drawing/2014/main" id="{585B1124-43FD-F625-A999-E7045445B127}"/>
                </a:ext>
                <a:ext uri="{147F2762-F138-4A5C-976F-8EAC2B608ADB}">
                  <a16:predDERef xmlns:a16="http://schemas.microsoft.com/office/drawing/2014/main" pred="{90421C88-0835-FB3A-6D92-6E22C8987805}"/>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6657975" y="6629400"/>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6</xdr:col>
      <xdr:colOff>5079</xdr:colOff>
      <xdr:row>1</xdr:row>
      <xdr:rowOff>149224</xdr:rowOff>
    </xdr:from>
    <xdr:to>
      <xdr:col>17</xdr:col>
      <xdr:colOff>194945</xdr:colOff>
      <xdr:row>18</xdr:row>
      <xdr:rowOff>133350</xdr:rowOff>
    </xdr:to>
    <xdr:graphicFrame macro="">
      <xdr:nvGraphicFramePr>
        <xdr:cNvPr id="2" name="Chart 1">
          <a:extLst>
            <a:ext uri="{FF2B5EF4-FFF2-40B4-BE49-F238E27FC236}">
              <a16:creationId xmlns:a16="http://schemas.microsoft.com/office/drawing/2014/main" id="{2B736DFF-8861-478A-8E85-6795818E39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279400</xdr:colOff>
      <xdr:row>0</xdr:row>
      <xdr:rowOff>130175</xdr:rowOff>
    </xdr:from>
    <xdr:to>
      <xdr:col>19</xdr:col>
      <xdr:colOff>279400</xdr:colOff>
      <xdr:row>14</xdr:row>
      <xdr:rowOff>76200</xdr:rowOff>
    </xdr:to>
    <mc:AlternateContent xmlns:mc="http://schemas.openxmlformats.org/markup-compatibility/2006" xmlns:a14="http://schemas.microsoft.com/office/drawing/2010/main">
      <mc:Choice Requires="a14">
        <xdr:graphicFrame macro="">
          <xdr:nvGraphicFramePr>
            <xdr:cNvPr id="4" name="Month">
              <a:extLst>
                <a:ext uri="{FF2B5EF4-FFF2-40B4-BE49-F238E27FC236}">
                  <a16:creationId xmlns:a16="http://schemas.microsoft.com/office/drawing/2014/main" id="{9534F0A2-B9B5-4022-A7D9-8C136275D6C0}"/>
                </a:ext>
                <a:ext uri="{147F2762-F138-4A5C-976F-8EAC2B608ADB}">
                  <a16:predDERef xmlns:a16="http://schemas.microsoft.com/office/drawing/2014/main" pred="{17797E6C-7C09-42CC-9D89-C3CE42767B2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0934700" y="17589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2</xdr:col>
      <xdr:colOff>539750</xdr:colOff>
      <xdr:row>2</xdr:row>
      <xdr:rowOff>73025</xdr:rowOff>
    </xdr:from>
    <xdr:to>
      <xdr:col>9</xdr:col>
      <xdr:colOff>431800</xdr:colOff>
      <xdr:row>17</xdr:row>
      <xdr:rowOff>53975</xdr:rowOff>
    </xdr:to>
    <xdr:graphicFrame macro="">
      <xdr:nvGraphicFramePr>
        <xdr:cNvPr id="2" name="Chart 1">
          <a:extLst>
            <a:ext uri="{FF2B5EF4-FFF2-40B4-BE49-F238E27FC236}">
              <a16:creationId xmlns:a16="http://schemas.microsoft.com/office/drawing/2014/main" id="{7102D9CB-54E8-4FD8-BA6E-4E91BC17FD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19.711576041664" createdVersion="7" refreshedVersion="8" minRefreshableVersion="3" recordCount="122" xr:uid="{FA45C023-87BC-4151-8A21-EAC30116D538}">
  <cacheSource type="worksheet">
    <worksheetSource ref="B1:K123" sheet="SUMMARY"/>
  </cacheSource>
  <cacheFields count="12">
    <cacheField name="Invoice Date" numFmtId="0">
      <sharedItems containsSemiMixedTypes="0" containsString="0" containsNumber="1" containsInteger="1" minValue="43861" maxValue="45991"/>
    </cacheField>
    <cacheField name="QTR" numFmtId="0">
      <sharedItems containsBlank="1" count="6">
        <s v="Q1"/>
        <s v="Q2"/>
        <s v="Q3"/>
        <s v="Q4"/>
        <s v="#NAME?" u="1"/>
        <m u="1"/>
      </sharedItems>
    </cacheField>
    <cacheField name="Month" numFmtId="166">
      <sharedItems containsBlank="1" count="13">
        <s v="Jan"/>
        <s v="Feb"/>
        <s v="Mar"/>
        <s v="Apr"/>
        <s v="May"/>
        <s v="Jun"/>
        <s v="Jul"/>
        <s v="Aug"/>
        <s v="Sep"/>
        <s v="Oct"/>
        <s v="Nov"/>
        <s v="#NAME?" u="1"/>
        <m u="1"/>
      </sharedItems>
    </cacheField>
    <cacheField name="CLIENT" numFmtId="166">
      <sharedItems containsBlank="1" count="15">
        <s v="BluePeak Gadgets Ltd"/>
        <s v="SignalPro Devices"/>
        <s v="UrbanWave Mobiles"/>
        <s v="CoreLink Technologies"/>
        <s v="FlashPoint Accessories"/>
        <s v="NovaStreet Phones"/>
        <s v="BrightCell Retailers"/>
        <s v="IronGate Gadgets"/>
        <s v="PulseHub Electronics"/>
        <s v="Skyline Mobile Mart"/>
        <s v="Vertex Phone Stores"/>
        <s v="luePeak Gadgets Ltd"/>
        <s v="Chike &amp; Sons Accessories"/>
        <s v="#NAME?" u="1"/>
        <m u="1"/>
      </sharedItems>
    </cacheField>
    <cacheField name="Units Sold" numFmtId="0">
      <sharedItems containsSemiMixedTypes="0" containsString="0" containsNumber="1" containsInteger="1" minValue="0" maxValue="224"/>
    </cacheField>
    <cacheField name="Invoice Value(₦)" numFmtId="0">
      <sharedItems containsSemiMixedTypes="0" containsString="0" containsNumber="1" minValue="0" maxValue="24120320.75"/>
    </cacheField>
    <cacheField name="Cash Received (₦)" numFmtId="0">
      <sharedItems containsSemiMixedTypes="0" containsString="0" containsNumber="1" minValue="0" maxValue="24120320.75"/>
    </cacheField>
    <cacheField name="Outstanding Balance (₦)" numFmtId="0">
      <sharedItems containsSemiMixedTypes="0" containsString="0" containsNumber="1" minValue="-90230.09999999986" maxValue="6700250.7999999998"/>
    </cacheField>
    <cacheField name="Payment Status" numFmtId="0">
      <sharedItems containsMixedTypes="1" containsNumber="1" containsInteger="1" minValue="0" maxValue="0"/>
    </cacheField>
    <cacheField name="COMMENT" numFmtId="0">
      <sharedItems containsNonDate="0" containsString="0" containsBlank="1"/>
    </cacheField>
    <cacheField name="Percentage" numFmtId="0" formula="#NAME?/#NAME?+#NAME?" databaseField="0"/>
    <cacheField name="% PAID" numFmtId="0" formula="#NAME?/(#NAME?+#NAME?)" databaseField="0"/>
  </cacheFields>
  <extLst>
    <ext xmlns:x14="http://schemas.microsoft.com/office/spreadsheetml/2009/9/main" uri="{725AE2AE-9491-48be-B2B4-4EB974FC3084}">
      <x14:pivotCacheDefinition pivotCacheId="1350859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2">
  <r>
    <n v="43861"/>
    <x v="0"/>
    <x v="0"/>
    <x v="0"/>
    <n v="111"/>
    <n v="5650120.5"/>
    <n v="5650120.5"/>
    <n v="0"/>
    <s v="PAID"/>
    <m/>
  </r>
  <r>
    <n v="43861"/>
    <x v="0"/>
    <x v="0"/>
    <x v="1"/>
    <n v="4"/>
    <n v="10115500"/>
    <n v="10115500"/>
    <n v="0"/>
    <s v="PAID"/>
    <m/>
  </r>
  <r>
    <n v="43861"/>
    <x v="0"/>
    <x v="0"/>
    <x v="2"/>
    <n v="11"/>
    <n v="150320"/>
    <n v="150320"/>
    <n v="0"/>
    <s v="PAID"/>
    <m/>
  </r>
  <r>
    <n v="43861"/>
    <x v="0"/>
    <x v="0"/>
    <x v="3"/>
    <n v="12"/>
    <n v="220900"/>
    <n v="220900"/>
    <n v="0"/>
    <s v="PAID"/>
    <m/>
  </r>
  <r>
    <n v="43861"/>
    <x v="0"/>
    <x v="0"/>
    <x v="4"/>
    <n v="4"/>
    <n v="198450"/>
    <n v="198450"/>
    <n v="0"/>
    <s v="PART PAYMENT"/>
    <m/>
  </r>
  <r>
    <n v="43861"/>
    <x v="0"/>
    <x v="0"/>
    <x v="5"/>
    <n v="0"/>
    <n v="0"/>
    <n v="0"/>
    <n v="0"/>
    <s v="NO ORDER"/>
    <m/>
  </r>
  <r>
    <n v="43861"/>
    <x v="0"/>
    <x v="0"/>
    <x v="6"/>
    <n v="0"/>
    <n v="0"/>
    <n v="0"/>
    <n v="0"/>
    <s v="NO ORDER"/>
    <m/>
  </r>
  <r>
    <n v="43861"/>
    <x v="0"/>
    <x v="0"/>
    <x v="7"/>
    <n v="0"/>
    <n v="0"/>
    <n v="0"/>
    <n v="0"/>
    <s v="NO ORDER"/>
    <m/>
  </r>
  <r>
    <n v="43861"/>
    <x v="0"/>
    <x v="0"/>
    <x v="8"/>
    <n v="15"/>
    <n v="395200"/>
    <n v="395200"/>
    <n v="0"/>
    <s v="PAID"/>
    <m/>
  </r>
  <r>
    <n v="43861"/>
    <x v="0"/>
    <x v="0"/>
    <x v="9"/>
    <n v="0"/>
    <n v="0"/>
    <n v="0"/>
    <n v="0"/>
    <s v="NO ORDER"/>
    <m/>
  </r>
  <r>
    <n v="43861"/>
    <x v="0"/>
    <x v="0"/>
    <x v="10"/>
    <n v="6"/>
    <n v="275900"/>
    <n v="275900"/>
    <n v="0"/>
    <s v="PAID"/>
    <m/>
  </r>
  <r>
    <n v="43889"/>
    <x v="0"/>
    <x v="1"/>
    <x v="0"/>
    <n v="224"/>
    <n v="9872450.75"/>
    <n v="9120300.1999999993"/>
    <n v="752150.55000000075"/>
    <s v="PART PAYMENT"/>
    <m/>
  </r>
  <r>
    <n v="43889"/>
    <x v="0"/>
    <x v="1"/>
    <x v="1"/>
    <n v="2"/>
    <n v="7450120.5"/>
    <n v="7450120.5"/>
    <n v="0"/>
    <s v="PAID"/>
    <m/>
  </r>
  <r>
    <n v="43889"/>
    <x v="0"/>
    <x v="1"/>
    <x v="2"/>
    <n v="5"/>
    <n v="82450.3"/>
    <n v="82450.3"/>
    <n v="0"/>
    <s v="PAID"/>
    <m/>
  </r>
  <r>
    <n v="43889"/>
    <x v="0"/>
    <x v="1"/>
    <x v="3"/>
    <n v="18"/>
    <n v="310550.09999999998"/>
    <n v="308900.75"/>
    <n v="1649.3499999999767"/>
    <s v="PART PAYMENT"/>
    <m/>
  </r>
  <r>
    <n v="43889"/>
    <x v="0"/>
    <x v="1"/>
    <x v="4"/>
    <n v="2"/>
    <n v="105200.5"/>
    <n v="0"/>
    <n v="105200.5"/>
    <s v="NOT PAID"/>
    <m/>
  </r>
  <r>
    <n v="43889"/>
    <x v="0"/>
    <x v="1"/>
    <x v="5"/>
    <n v="16"/>
    <n v="410780.25"/>
    <n v="410780.25"/>
    <n v="0"/>
    <s v="PAID"/>
    <m/>
  </r>
  <r>
    <n v="43889"/>
    <x v="0"/>
    <x v="1"/>
    <x v="6"/>
    <n v="2"/>
    <n v="75320.399999999994"/>
    <n v="75320.399999999994"/>
    <n v="0"/>
    <s v="PAID"/>
    <m/>
  </r>
  <r>
    <n v="43889"/>
    <x v="0"/>
    <x v="1"/>
    <x v="7"/>
    <n v="143"/>
    <n v="2050100.75"/>
    <n v="2050100.75"/>
    <n v="0"/>
    <s v="PAID"/>
    <m/>
  </r>
  <r>
    <n v="43889"/>
    <x v="0"/>
    <x v="1"/>
    <x v="8"/>
    <n v="8"/>
    <n v="295400.59999999998"/>
    <n v="295400.59999999998"/>
    <n v="0"/>
    <s v="PAID"/>
    <m/>
  </r>
  <r>
    <n v="43889"/>
    <x v="0"/>
    <x v="1"/>
    <x v="9"/>
    <n v="0"/>
    <n v="0"/>
    <n v="0"/>
    <n v="0"/>
    <n v="0"/>
    <m/>
  </r>
  <r>
    <n v="43889"/>
    <x v="0"/>
    <x v="1"/>
    <x v="10"/>
    <n v="3"/>
    <n v="18750.900000000001"/>
    <n v="18750.900000000001"/>
    <n v="0"/>
    <s v="PAID"/>
    <m/>
  </r>
  <r>
    <n v="43921"/>
    <x v="0"/>
    <x v="2"/>
    <x v="0"/>
    <n v="12"/>
    <n v="1120450.75"/>
    <n v="1110320.6000000001"/>
    <n v="10130.149999999907"/>
    <s v="PAID"/>
    <m/>
  </r>
  <r>
    <n v="43921"/>
    <x v="0"/>
    <x v="2"/>
    <x v="1"/>
    <n v="3"/>
    <n v="4520780.4000000004"/>
    <n v="4520780.4000000004"/>
    <n v="0"/>
    <s v="PAID"/>
    <m/>
  </r>
  <r>
    <n v="43921"/>
    <x v="0"/>
    <x v="2"/>
    <x v="2"/>
    <n v="7"/>
    <n v="55320.9"/>
    <n v="55320.9"/>
    <n v="0"/>
    <s v="PAID"/>
    <m/>
  </r>
  <r>
    <n v="43921"/>
    <x v="0"/>
    <x v="2"/>
    <x v="3"/>
    <n v="20"/>
    <n v="290450.25"/>
    <n v="285900.09999999998"/>
    <n v="4550.1500000000233"/>
    <s v="PART PAYMENT"/>
    <m/>
  </r>
  <r>
    <n v="43921"/>
    <x v="0"/>
    <x v="2"/>
    <x v="4"/>
    <n v="2"/>
    <n v="48750.1"/>
    <n v="48920"/>
    <n v="-169.90000000000146"/>
    <s v="NOT PAID"/>
    <m/>
  </r>
  <r>
    <n v="43921"/>
    <x v="0"/>
    <x v="2"/>
    <x v="5"/>
    <n v="40"/>
    <n v="1500250.8"/>
    <n v="1500480.25"/>
    <n v="-229.44999999995343"/>
    <s v="PAID"/>
    <m/>
  </r>
  <r>
    <n v="43921"/>
    <x v="0"/>
    <x v="2"/>
    <x v="6"/>
    <n v="0"/>
    <n v="0"/>
    <n v="0"/>
    <n v="0"/>
    <s v="NO ORDER"/>
    <m/>
  </r>
  <r>
    <n v="43921"/>
    <x v="0"/>
    <x v="2"/>
    <x v="7"/>
    <n v="90"/>
    <n v="2410320.9"/>
    <n v="2410320.9"/>
    <n v="0"/>
    <s v="NOT PAID"/>
    <m/>
  </r>
  <r>
    <n v="43921"/>
    <x v="0"/>
    <x v="2"/>
    <x v="8"/>
    <n v="5"/>
    <n v="375480.6"/>
    <n v="367120.3"/>
    <n v="8360.2999999999884"/>
    <s v="PART PAYMENT"/>
    <m/>
  </r>
  <r>
    <n v="43921"/>
    <x v="0"/>
    <x v="2"/>
    <x v="9"/>
    <n v="0"/>
    <n v="0"/>
    <n v="0"/>
    <n v="0"/>
    <s v="NO ORDER"/>
    <m/>
  </r>
  <r>
    <n v="43921"/>
    <x v="0"/>
    <x v="2"/>
    <x v="10"/>
    <n v="1"/>
    <n v="75240.5"/>
    <n v="75240.5"/>
    <n v="0"/>
    <s v="PAID"/>
    <m/>
  </r>
  <r>
    <n v="43951"/>
    <x v="1"/>
    <x v="3"/>
    <x v="0"/>
    <n v="14"/>
    <n v="1220450.75"/>
    <n v="1210300.6000000001"/>
    <n v="10150.149999999907"/>
    <s v="PAID"/>
    <m/>
  </r>
  <r>
    <n v="43951"/>
    <x v="1"/>
    <x v="3"/>
    <x v="1"/>
    <n v="7"/>
    <n v="4520780.4000000004"/>
    <n v="4520780.4000000004"/>
    <n v="0"/>
    <s v="PAID"/>
    <m/>
  </r>
  <r>
    <n v="43951"/>
    <x v="1"/>
    <x v="3"/>
    <x v="2"/>
    <n v="3"/>
    <n v="65320.9"/>
    <n v="65320.9"/>
    <n v="0"/>
    <s v="PAID"/>
    <m/>
  </r>
  <r>
    <n v="43951"/>
    <x v="1"/>
    <x v="3"/>
    <x v="3"/>
    <n v="28"/>
    <n v="320450.25"/>
    <n v="315900.09999999998"/>
    <n v="4550.1500000000233"/>
    <s v="PART PAYMENT"/>
    <m/>
  </r>
  <r>
    <n v="43951"/>
    <x v="1"/>
    <x v="3"/>
    <x v="4"/>
    <n v="9"/>
    <n v="52750.1"/>
    <n v="52920"/>
    <n v="-169.90000000000146"/>
    <s v="NOT PAID"/>
    <m/>
  </r>
  <r>
    <n v="43951"/>
    <x v="1"/>
    <x v="3"/>
    <x v="5"/>
    <n v="37"/>
    <n v="1480250.8"/>
    <n v="1480480.25"/>
    <n v="-229.44999999995343"/>
    <s v="NOT PAID"/>
    <m/>
  </r>
  <r>
    <n v="43951"/>
    <x v="1"/>
    <x v="3"/>
    <x v="6"/>
    <n v="0"/>
    <n v="0"/>
    <n v="0"/>
    <n v="0"/>
    <s v="NOT PAID"/>
    <m/>
  </r>
  <r>
    <n v="43951"/>
    <x v="1"/>
    <x v="3"/>
    <x v="7"/>
    <n v="88"/>
    <n v="2410320.9"/>
    <n v="2410320.9"/>
    <n v="0"/>
    <s v="NOT PAID"/>
    <m/>
  </r>
  <r>
    <n v="43951"/>
    <x v="1"/>
    <x v="3"/>
    <x v="8"/>
    <n v="5"/>
    <n v="390480.6"/>
    <n v="382120.3"/>
    <n v="8360.2999999999884"/>
    <s v="PAID"/>
    <m/>
  </r>
  <r>
    <n v="43951"/>
    <x v="1"/>
    <x v="3"/>
    <x v="9"/>
    <n v="0"/>
    <n v="0"/>
    <n v="0"/>
    <n v="0"/>
    <s v="NOT PAID"/>
    <m/>
  </r>
  <r>
    <n v="43951"/>
    <x v="1"/>
    <x v="3"/>
    <x v="10"/>
    <n v="2"/>
    <n v="85240.5"/>
    <n v="85240.5"/>
    <n v="0"/>
    <s v="PAID"/>
    <m/>
  </r>
  <r>
    <n v="43982"/>
    <x v="1"/>
    <x v="4"/>
    <x v="11"/>
    <n v="12"/>
    <n v="310450.75"/>
    <n v="295320.59999999998"/>
    <n v="15130.150000000023"/>
    <s v="PART PAYMENT"/>
    <m/>
  </r>
  <r>
    <n v="43982"/>
    <x v="1"/>
    <x v="4"/>
    <x v="1"/>
    <n v="4"/>
    <n v="5450780.4000000004"/>
    <n v="5450780.4000000004"/>
    <n v="0"/>
    <s v="PAID"/>
    <m/>
  </r>
  <r>
    <n v="43982"/>
    <x v="1"/>
    <x v="4"/>
    <x v="2"/>
    <n v="3"/>
    <n v="4850.25"/>
    <n v="4850.25"/>
    <n v="0"/>
    <s v="PAID"/>
    <m/>
  </r>
  <r>
    <n v="43982"/>
    <x v="1"/>
    <x v="4"/>
    <x v="3"/>
    <n v="28"/>
    <n v="440320.9"/>
    <n v="0"/>
    <n v="440320.9"/>
    <s v="NOT PAID"/>
    <m/>
  </r>
  <r>
    <n v="43982"/>
    <x v="1"/>
    <x v="4"/>
    <x v="4"/>
    <n v="6"/>
    <n v="215750.1"/>
    <n v="0"/>
    <n v="215750.1"/>
    <s v="NOT PAID"/>
    <m/>
  </r>
  <r>
    <n v="43982"/>
    <x v="1"/>
    <x v="4"/>
    <x v="5"/>
    <n v="80"/>
    <n v="1980450.8"/>
    <n v="1910480.25"/>
    <n v="69970.550000000047"/>
    <s v="PART PAYMENT"/>
    <m/>
  </r>
  <r>
    <n v="43982"/>
    <x v="1"/>
    <x v="4"/>
    <x v="6"/>
    <n v="2"/>
    <n v="52480.6"/>
    <n v="52480.6"/>
    <n v="0"/>
    <s v="PAID"/>
    <m/>
  </r>
  <r>
    <n v="43982"/>
    <x v="1"/>
    <x v="4"/>
    <x v="7"/>
    <n v="140"/>
    <n v="2520320.9"/>
    <n v="2520320.9"/>
    <n v="0"/>
    <s v="PAID"/>
    <m/>
  </r>
  <r>
    <n v="43982"/>
    <x v="1"/>
    <x v="4"/>
    <x v="8"/>
    <n v="11"/>
    <n v="540480.6"/>
    <n v="535120.30000000005"/>
    <n v="5360.2999999999302"/>
    <s v="PART PAYMENT"/>
    <m/>
  </r>
  <r>
    <n v="43982"/>
    <x v="1"/>
    <x v="4"/>
    <x v="9"/>
    <n v="0"/>
    <n v="0"/>
    <n v="0"/>
    <n v="0"/>
    <s v="NOT PAID"/>
    <m/>
  </r>
  <r>
    <n v="43982"/>
    <x v="1"/>
    <x v="4"/>
    <x v="10"/>
    <n v="35"/>
    <n v="2510240.5"/>
    <n v="2510240.5"/>
    <n v="0"/>
    <s v="PAID"/>
    <m/>
  </r>
  <r>
    <n v="44012"/>
    <x v="1"/>
    <x v="5"/>
    <x v="0"/>
    <n v="5"/>
    <n v="92450.75"/>
    <n v="88320.6"/>
    <n v="4130.1499999999942"/>
    <n v="0"/>
    <m/>
  </r>
  <r>
    <n v="44012"/>
    <x v="1"/>
    <x v="5"/>
    <x v="1"/>
    <n v="8"/>
    <n v="9120780.4000000004"/>
    <n v="9120780.4000000004"/>
    <n v="0"/>
    <s v="PAID"/>
    <m/>
  </r>
  <r>
    <n v="44012"/>
    <x v="1"/>
    <x v="5"/>
    <x v="2"/>
    <n v="2"/>
    <n v="18450.25"/>
    <n v="0"/>
    <n v="18450.25"/>
    <n v="0"/>
    <m/>
  </r>
  <r>
    <n v="44012"/>
    <x v="1"/>
    <x v="5"/>
    <x v="3"/>
    <n v="35"/>
    <n v="340320.9"/>
    <n v="312900.09999999998"/>
    <n v="27420.800000000047"/>
    <n v="0"/>
    <m/>
  </r>
  <r>
    <n v="44012"/>
    <x v="1"/>
    <x v="5"/>
    <x v="4"/>
    <n v="20"/>
    <n v="395750.1"/>
    <n v="395750.1"/>
    <n v="0"/>
    <s v="PAID"/>
    <m/>
  </r>
  <r>
    <n v="44012"/>
    <x v="1"/>
    <x v="5"/>
    <x v="5"/>
    <n v="90"/>
    <n v="3020480.8"/>
    <n v="3060520.25"/>
    <n v="-40039.450000000186"/>
    <s v="PAID"/>
    <m/>
  </r>
  <r>
    <n v="44012"/>
    <x v="1"/>
    <x v="5"/>
    <x v="6"/>
    <n v="0"/>
    <n v="0"/>
    <n v="0"/>
    <n v="0"/>
    <n v="0"/>
    <m/>
  </r>
  <r>
    <n v="44012"/>
    <x v="1"/>
    <x v="5"/>
    <x v="7"/>
    <n v="130"/>
    <n v="1710320.9"/>
    <n v="1690320.9"/>
    <n v="20000"/>
    <s v="PART PAYMENT"/>
    <m/>
  </r>
  <r>
    <n v="44012"/>
    <x v="1"/>
    <x v="5"/>
    <x v="8"/>
    <n v="4"/>
    <n v="88480.6"/>
    <n v="88480.6"/>
    <n v="0"/>
    <s v="PAID"/>
    <m/>
  </r>
  <r>
    <n v="44012"/>
    <x v="1"/>
    <x v="5"/>
    <x v="9"/>
    <n v="0"/>
    <n v="0"/>
    <n v="0"/>
    <n v="0"/>
    <s v="NOT PAID"/>
    <m/>
  </r>
  <r>
    <n v="44012"/>
    <x v="1"/>
    <x v="5"/>
    <x v="10"/>
    <n v="12"/>
    <n v="650480.6"/>
    <n v="645120.30000000005"/>
    <n v="5360.2999999999302"/>
    <s v="PAID"/>
    <m/>
  </r>
  <r>
    <n v="44043"/>
    <x v="2"/>
    <x v="6"/>
    <x v="0"/>
    <n v="7"/>
    <n v="350480.5"/>
    <n v="0"/>
    <n v="350480.5"/>
    <s v="NOT PAID"/>
    <m/>
  </r>
  <r>
    <n v="44043"/>
    <x v="2"/>
    <x v="6"/>
    <x v="1"/>
    <n v="5"/>
    <n v="3050320.75"/>
    <n v="3050320.75"/>
    <n v="0"/>
    <s v="PAID"/>
    <m/>
  </r>
  <r>
    <n v="44043"/>
    <x v="2"/>
    <x v="6"/>
    <x v="2"/>
    <n v="0"/>
    <n v="0"/>
    <n v="0"/>
    <n v="0"/>
    <s v="NO ORDER"/>
    <m/>
  </r>
  <r>
    <n v="44043"/>
    <x v="2"/>
    <x v="6"/>
    <x v="3"/>
    <n v="32"/>
    <n v="820450.9"/>
    <n v="55120.4"/>
    <n v="765330.5"/>
    <s v="NOT PAID"/>
    <m/>
  </r>
  <r>
    <n v="44043"/>
    <x v="2"/>
    <x v="6"/>
    <x v="4"/>
    <n v="10"/>
    <n v="295480.59999999998"/>
    <n v="295480.59999999998"/>
    <n v="0"/>
    <s v="PAID"/>
    <m/>
  </r>
  <r>
    <n v="44043"/>
    <x v="2"/>
    <x v="6"/>
    <x v="5"/>
    <n v="60"/>
    <n v="1450250.8"/>
    <n v="1540480.9"/>
    <n v="-90230.09999999986"/>
    <s v="PAID"/>
    <m/>
  </r>
  <r>
    <n v="44043"/>
    <x v="2"/>
    <x v="6"/>
    <x v="6"/>
    <n v="0"/>
    <n v="0"/>
    <n v="0"/>
    <n v="0"/>
    <s v="NOT PAID"/>
    <m/>
  </r>
  <r>
    <n v="44043"/>
    <x v="2"/>
    <x v="6"/>
    <x v="7"/>
    <n v="110"/>
    <n v="1250320.75"/>
    <n v="1220450.5"/>
    <n v="29870.25"/>
    <s v="PART PAYMENT"/>
    <m/>
  </r>
  <r>
    <n v="44043"/>
    <x v="2"/>
    <x v="6"/>
    <x v="8"/>
    <n v="15"/>
    <n v="650480.6"/>
    <n v="530320.25"/>
    <n v="120160.34999999998"/>
    <s v="PART PAYMENT"/>
    <m/>
  </r>
  <r>
    <n v="44043"/>
    <x v="2"/>
    <x v="6"/>
    <x v="9"/>
    <n v="0"/>
    <n v="0"/>
    <n v="0"/>
    <n v="0"/>
    <s v="NOT PAID"/>
    <m/>
  </r>
  <r>
    <n v="44043"/>
    <x v="2"/>
    <x v="6"/>
    <x v="10"/>
    <n v="25"/>
    <n v="1900480.6"/>
    <n v="1900480.6"/>
    <n v="0"/>
    <s v="PAID"/>
    <m/>
  </r>
  <r>
    <n v="44074"/>
    <x v="2"/>
    <x v="7"/>
    <x v="0"/>
    <n v="50"/>
    <n v="2750480.5"/>
    <n v="470200"/>
    <n v="2280280.5"/>
    <n v="0"/>
    <m/>
  </r>
  <r>
    <n v="44074"/>
    <x v="2"/>
    <x v="7"/>
    <x v="1"/>
    <n v="8"/>
    <n v="24120320.75"/>
    <n v="24120320.75"/>
    <n v="0"/>
    <s v="PAID"/>
    <m/>
  </r>
  <r>
    <n v="44074"/>
    <x v="2"/>
    <x v="7"/>
    <x v="2"/>
    <n v="2"/>
    <n v="15480.6"/>
    <n v="15480.6"/>
    <n v="0"/>
    <s v="PAID"/>
    <m/>
  </r>
  <r>
    <n v="44074"/>
    <x v="2"/>
    <x v="7"/>
    <x v="3"/>
    <n v="70"/>
    <n v="1300450.8999999999"/>
    <n v="45120.4"/>
    <n v="1255330.5"/>
    <s v="PART PAYMENT"/>
    <m/>
  </r>
  <r>
    <n v="44074"/>
    <x v="2"/>
    <x v="7"/>
    <x v="4"/>
    <n v="12"/>
    <n v="225480.6"/>
    <n v="0"/>
    <n v="225480.6"/>
    <s v="NOT PAID"/>
    <m/>
  </r>
  <r>
    <n v="44074"/>
    <x v="2"/>
    <x v="7"/>
    <x v="5"/>
    <n v="65"/>
    <n v="2850250.8"/>
    <n v="20480.900000000001"/>
    <n v="2829769.9"/>
    <n v="0"/>
    <m/>
  </r>
  <r>
    <n v="44074"/>
    <x v="2"/>
    <x v="7"/>
    <x v="6"/>
    <n v="0"/>
    <n v="0"/>
    <n v="0"/>
    <n v="0"/>
    <n v="0"/>
    <m/>
  </r>
  <r>
    <n v="44074"/>
    <x v="2"/>
    <x v="7"/>
    <x v="7"/>
    <n v="110"/>
    <n v="970320.75"/>
    <n v="0"/>
    <n v="970320.75"/>
    <s v="NOT PAID"/>
    <m/>
  </r>
  <r>
    <n v="44074"/>
    <x v="2"/>
    <x v="7"/>
    <x v="8"/>
    <n v="10"/>
    <n v="650480.6"/>
    <n v="650480.6"/>
    <n v="0"/>
    <s v="PART PAYMENT"/>
    <m/>
  </r>
  <r>
    <n v="44074"/>
    <x v="2"/>
    <x v="7"/>
    <x v="9"/>
    <n v="0"/>
    <n v="0"/>
    <n v="0"/>
    <n v="0"/>
    <n v="0"/>
    <m/>
  </r>
  <r>
    <n v="44074"/>
    <x v="2"/>
    <x v="7"/>
    <x v="10"/>
    <n v="40"/>
    <n v="3300480.6"/>
    <n v="390120.3"/>
    <n v="2910360.3000000003"/>
    <s v="NOT PAID"/>
    <m/>
  </r>
  <r>
    <n v="44104"/>
    <x v="2"/>
    <x v="8"/>
    <x v="0"/>
    <n v="35"/>
    <n v="1520480.75"/>
    <n v="115320.6"/>
    <n v="1405160.15"/>
    <s v="PART PAYMENT"/>
    <m/>
  </r>
  <r>
    <n v="44104"/>
    <x v="2"/>
    <x v="8"/>
    <x v="1"/>
    <n v="0"/>
    <n v="0"/>
    <n v="0"/>
    <n v="0"/>
    <n v="0"/>
    <m/>
  </r>
  <r>
    <n v="44104"/>
    <x v="2"/>
    <x v="8"/>
    <x v="2"/>
    <n v="0"/>
    <n v="0"/>
    <n v="0"/>
    <n v="0"/>
    <n v="0"/>
    <m/>
  </r>
  <r>
    <n v="44104"/>
    <x v="2"/>
    <x v="8"/>
    <x v="3"/>
    <n v="10"/>
    <n v="190450.6"/>
    <n v="190420.25"/>
    <n v="30.350000000005821"/>
    <s v="PART PAYMENT"/>
    <m/>
  </r>
  <r>
    <n v="44104"/>
    <x v="2"/>
    <x v="8"/>
    <x v="4"/>
    <n v="3"/>
    <n v="42480.9"/>
    <n v="0"/>
    <n v="42480.9"/>
    <s v="NOT PAID"/>
    <m/>
  </r>
  <r>
    <n v="44104"/>
    <x v="2"/>
    <x v="8"/>
    <x v="5"/>
    <n v="55"/>
    <n v="2720250.8"/>
    <n v="1200480.8999999999"/>
    <n v="1519769.9"/>
    <s v="PART PAYMENT"/>
    <m/>
  </r>
  <r>
    <n v="44104"/>
    <x v="2"/>
    <x v="8"/>
    <x v="6"/>
    <n v="0"/>
    <n v="0"/>
    <n v="0"/>
    <n v="0"/>
    <n v="0"/>
    <m/>
  </r>
  <r>
    <n v="44104"/>
    <x v="2"/>
    <x v="8"/>
    <x v="7"/>
    <n v="80"/>
    <n v="500480.6"/>
    <n v="0"/>
    <n v="500480.6"/>
    <s v="NOT PAID"/>
    <m/>
  </r>
  <r>
    <n v="44104"/>
    <x v="2"/>
    <x v="8"/>
    <x v="8"/>
    <n v="4"/>
    <n v="85320.5"/>
    <n v="85320.5"/>
    <n v="0"/>
    <s v="PAID"/>
    <m/>
  </r>
  <r>
    <n v="44104"/>
    <x v="2"/>
    <x v="8"/>
    <x v="9"/>
    <n v="0"/>
    <n v="0"/>
    <n v="0"/>
    <n v="0"/>
    <s v="NO ORDER"/>
    <m/>
  </r>
  <r>
    <n v="44104"/>
    <x v="2"/>
    <x v="8"/>
    <x v="10"/>
    <n v="20"/>
    <n v="950480.6"/>
    <n v="0"/>
    <n v="950480.6"/>
    <s v="NOT PAID"/>
    <m/>
  </r>
  <r>
    <n v="45961"/>
    <x v="3"/>
    <x v="9"/>
    <x v="0"/>
    <n v="15"/>
    <n v="6700250.7999999998"/>
    <n v="0"/>
    <n v="6700250.7999999998"/>
    <n v="0"/>
    <m/>
  </r>
  <r>
    <n v="45961"/>
    <x v="3"/>
    <x v="9"/>
    <x v="1"/>
    <n v="2"/>
    <n v="6550480.5999999996"/>
    <n v="6330120.4000000004"/>
    <n v="220360.19999999925"/>
    <s v="PART PAYMENT"/>
    <m/>
  </r>
  <r>
    <n v="45961"/>
    <x v="3"/>
    <x v="9"/>
    <x v="2"/>
    <n v="3"/>
    <n v="12480.5"/>
    <n v="0"/>
    <n v="12480.5"/>
    <s v="NOT PAID"/>
    <m/>
  </r>
  <r>
    <n v="45961"/>
    <x v="3"/>
    <x v="9"/>
    <x v="3"/>
    <n v="30"/>
    <n v="580320.9"/>
    <n v="0"/>
    <n v="580320.9"/>
    <s v="NOT PAID"/>
    <m/>
  </r>
  <r>
    <n v="45961"/>
    <x v="3"/>
    <x v="9"/>
    <x v="4"/>
    <n v="60"/>
    <n v="1550480.75"/>
    <n v="0"/>
    <n v="1550480.75"/>
    <s v="NOT PAID"/>
    <m/>
  </r>
  <r>
    <n v="45961"/>
    <x v="3"/>
    <x v="9"/>
    <x v="5"/>
    <n v="50"/>
    <n v="1430250.8"/>
    <n v="0"/>
    <n v="1430250.8"/>
    <s v="NOT PAID"/>
    <m/>
  </r>
  <r>
    <n v="45961"/>
    <x v="3"/>
    <x v="9"/>
    <x v="6"/>
    <n v="2"/>
    <n v="25480.6"/>
    <n v="25480.6"/>
    <n v="0"/>
    <s v="PAID"/>
    <m/>
  </r>
  <r>
    <n v="45961"/>
    <x v="3"/>
    <x v="9"/>
    <x v="7"/>
    <n v="140"/>
    <n v="1250480.8999999999"/>
    <n v="0"/>
    <n v="1250480.8999999999"/>
    <s v="NOT PAID"/>
    <m/>
  </r>
  <r>
    <n v="45961"/>
    <x v="3"/>
    <x v="9"/>
    <x v="8"/>
    <n v="25"/>
    <n v="1100480.6000000001"/>
    <n v="1100480.6000000001"/>
    <n v="0"/>
    <s v="PAID"/>
    <m/>
  </r>
  <r>
    <n v="45961"/>
    <x v="3"/>
    <x v="9"/>
    <x v="9"/>
    <n v="0"/>
    <n v="0"/>
    <n v="0"/>
    <n v="0"/>
    <n v="0"/>
    <m/>
  </r>
  <r>
    <n v="45961"/>
    <x v="3"/>
    <x v="9"/>
    <x v="10"/>
    <n v="20"/>
    <n v="620480.75"/>
    <n v="0"/>
    <n v="620480.75"/>
    <n v="0"/>
    <m/>
  </r>
  <r>
    <n v="45991"/>
    <x v="3"/>
    <x v="10"/>
    <x v="0"/>
    <n v="20"/>
    <n v="2550480.75"/>
    <n v="0"/>
    <n v="2550480.75"/>
    <s v="NOT PAID"/>
    <m/>
  </r>
  <r>
    <n v="45991"/>
    <x v="3"/>
    <x v="10"/>
    <x v="1"/>
    <n v="5"/>
    <n v="11100250.800000001"/>
    <n v="6350480.9000000004"/>
    <n v="4749769.9000000004"/>
    <s v="NOT PAID"/>
    <m/>
  </r>
  <r>
    <n v="45991"/>
    <x v="3"/>
    <x v="10"/>
    <x v="2"/>
    <n v="0"/>
    <n v="0"/>
    <n v="0"/>
    <n v="0"/>
    <n v="0"/>
    <m/>
  </r>
  <r>
    <n v="45991"/>
    <x v="3"/>
    <x v="10"/>
    <x v="3"/>
    <n v="30"/>
    <n v="550480.6"/>
    <n v="0"/>
    <n v="550480.6"/>
    <s v="NOT PAID"/>
    <m/>
  </r>
  <r>
    <n v="45991"/>
    <x v="3"/>
    <x v="10"/>
    <x v="4"/>
    <n v="55"/>
    <n v="1200480.8999999999"/>
    <n v="0"/>
    <n v="1200480.8999999999"/>
    <s v="NOT PAID"/>
    <m/>
  </r>
  <r>
    <n v="45991"/>
    <x v="3"/>
    <x v="10"/>
    <x v="5"/>
    <n v="85"/>
    <n v="2780250.8"/>
    <n v="0"/>
    <n v="2780250.8"/>
    <s v="NOT PAID"/>
    <m/>
  </r>
  <r>
    <n v="45991"/>
    <x v="3"/>
    <x v="10"/>
    <x v="6"/>
    <n v="3"/>
    <n v="25480.6"/>
    <n v="0"/>
    <n v="25480.6"/>
    <s v="NOT PAID"/>
    <m/>
  </r>
  <r>
    <n v="45991"/>
    <x v="3"/>
    <x v="10"/>
    <x v="7"/>
    <n v="120"/>
    <n v="1100480.75"/>
    <n v="0"/>
    <n v="1100480.75"/>
    <s v="NOT PAID"/>
    <m/>
  </r>
  <r>
    <n v="45991"/>
    <x v="3"/>
    <x v="10"/>
    <x v="8"/>
    <n v="45"/>
    <n v="900480.6"/>
    <n v="900480.6"/>
    <n v="0"/>
    <s v="PAID"/>
    <m/>
  </r>
  <r>
    <n v="45991"/>
    <x v="3"/>
    <x v="10"/>
    <x v="9"/>
    <n v="0"/>
    <n v="690480.75"/>
    <n v="125480.6"/>
    <n v="565000.15"/>
    <n v="0"/>
    <m/>
  </r>
  <r>
    <n v="45991"/>
    <x v="3"/>
    <x v="10"/>
    <x v="10"/>
    <n v="15"/>
    <n v="420480.6"/>
    <n v="325480.5"/>
    <n v="95000.099999999977"/>
    <s v="PART PAYMENT"/>
    <m/>
  </r>
  <r>
    <n v="45991"/>
    <x v="3"/>
    <x v="10"/>
    <x v="12"/>
    <n v="15"/>
    <n v="420480.6"/>
    <n v="325480.5"/>
    <n v="95000.099999999977"/>
    <s v="PART PAYMENT"/>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CA3A6B-0F75-49D1-96AF-EA3EE744160C}" name="PivotTable36" cacheId="455"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3">
  <location ref="A3:B4" firstHeaderRow="0" firstDataRow="1" firstDataCol="0"/>
  <pivotFields count="12">
    <pivotField showAll="0"/>
    <pivotField showAll="0">
      <items count="7">
        <item m="1" x="4"/>
        <item x="0"/>
        <item x="1"/>
        <item x="2"/>
        <item x="3"/>
        <item m="1" x="5"/>
        <item t="default"/>
      </items>
    </pivotField>
    <pivotField showAll="0">
      <items count="14">
        <item x="0"/>
        <item x="1"/>
        <item x="2"/>
        <item x="3"/>
        <item x="4"/>
        <item x="5"/>
        <item x="6"/>
        <item x="7"/>
        <item x="8"/>
        <item x="9"/>
        <item x="10"/>
        <item m="1" x="11"/>
        <item m="1" x="12"/>
        <item t="default"/>
      </items>
    </pivotField>
    <pivotField showAll="0"/>
    <pivotField showAll="0"/>
    <pivotField showAll="0"/>
    <pivotField dataField="1" showAll="0"/>
    <pivotField dataField="1" showAll="0"/>
    <pivotField showAll="0"/>
    <pivotField showAll="0"/>
    <pivotField dragToRow="0" dragToCol="0" dragToPage="0" showAll="0" defaultSubtotal="0"/>
    <pivotField dragToRow="0" dragToCol="0" dragToPage="0" showAll="0" defaultSubtotal="0"/>
  </pivotFields>
  <rowItems count="1">
    <i/>
  </rowItems>
  <colFields count="1">
    <field x="-2"/>
  </colFields>
  <colItems count="2">
    <i>
      <x/>
    </i>
    <i i="1">
      <x v="1"/>
    </i>
  </colItems>
  <dataFields count="2">
    <dataField name="Sum of Outstanding Balance (₦)" fld="7" baseField="0" baseItem="0"/>
    <dataField name="Sum of Cash Received (₦)" fld="6" baseField="0" baseItem="0"/>
  </dataFields>
  <formats count="3">
    <format dxfId="220">
      <pivotArea grandRow="1" outline="0" collapsedLevelsAreSubtotals="1" fieldPosition="0"/>
    </format>
    <format dxfId="221">
      <pivotArea outline="0" collapsedLevelsAreSubtotals="1" fieldPosition="0"/>
    </format>
    <format dxfId="22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1CA386-7472-4D65-A979-468AEACD3AC2}" name="PivotTable36" cacheId="455"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3">
  <location ref="A3:B17" firstHeaderRow="1" firstDataRow="1" firstDataCol="1"/>
  <pivotFields count="12">
    <pivotField showAll="0"/>
    <pivotField showAll="0">
      <items count="7">
        <item m="1" x="4"/>
        <item x="0"/>
        <item x="1"/>
        <item x="2"/>
        <item x="3"/>
        <item m="1" x="5"/>
        <item t="default"/>
      </items>
    </pivotField>
    <pivotField showAll="0">
      <items count="14">
        <item x="0"/>
        <item x="1"/>
        <item x="2"/>
        <item x="3"/>
        <item x="4"/>
        <item x="5"/>
        <item x="6"/>
        <item x="7"/>
        <item x="8"/>
        <item x="9"/>
        <item x="10"/>
        <item m="1" x="11"/>
        <item m="1" x="12"/>
        <item t="default"/>
      </items>
    </pivotField>
    <pivotField axis="axisRow" showAll="0">
      <items count="16">
        <item x="0"/>
        <item x="6"/>
        <item x="12"/>
        <item x="3"/>
        <item x="4"/>
        <item x="7"/>
        <item x="5"/>
        <item x="8"/>
        <item x="1"/>
        <item x="9"/>
        <item x="2"/>
        <item x="10"/>
        <item m="1" x="13"/>
        <item m="1" x="14"/>
        <item x="11"/>
        <item t="default"/>
      </items>
    </pivotField>
    <pivotField showAll="0"/>
    <pivotField dataField="1" showAll="0"/>
    <pivotField showAll="0"/>
    <pivotField showAll="0"/>
    <pivotField showAll="0"/>
    <pivotField showAll="0"/>
    <pivotField dragToRow="0" dragToCol="0" dragToPage="0" showAll="0" defaultSubtotal="0"/>
    <pivotField dragToRow="0" dragToCol="0" dragToPage="0" showAll="0" defaultSubtotal="0"/>
  </pivotFields>
  <rowFields count="1">
    <field x="3"/>
  </rowFields>
  <rowItems count="14">
    <i>
      <x/>
    </i>
    <i>
      <x v="1"/>
    </i>
    <i>
      <x v="2"/>
    </i>
    <i>
      <x v="3"/>
    </i>
    <i>
      <x v="4"/>
    </i>
    <i>
      <x v="5"/>
    </i>
    <i>
      <x v="6"/>
    </i>
    <i>
      <x v="7"/>
    </i>
    <i>
      <x v="8"/>
    </i>
    <i>
      <x v="9"/>
    </i>
    <i>
      <x v="10"/>
    </i>
    <i>
      <x v="11"/>
    </i>
    <i>
      <x v="14"/>
    </i>
    <i t="grand">
      <x/>
    </i>
  </rowItems>
  <colItems count="1">
    <i/>
  </colItems>
  <dataFields count="1">
    <dataField name="Sum of Invoice Value(₦)" fld="5" baseField="0" baseItem="0"/>
  </dataFields>
  <formats count="3">
    <format dxfId="217">
      <pivotArea grandRow="1" outline="0" collapsedLevelsAreSubtotals="1" fieldPosition="0"/>
    </format>
    <format dxfId="218">
      <pivotArea outline="0" collapsedLevelsAreSubtotals="1" fieldPosition="0"/>
    </format>
    <format dxfId="219">
      <pivotArea dataOnly="0" labelOnly="1" outline="0" axis="axisValues" fieldPosition="0"/>
    </format>
  </format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EED4B2-7E5E-404B-9896-FBBCE9A99CBA}" name="PivotTable36" cacheId="455"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2">
  <location ref="A3:B15" firstHeaderRow="1" firstDataRow="1" firstDataCol="1"/>
  <pivotFields count="12">
    <pivotField showAll="0"/>
    <pivotField showAll="0">
      <items count="7">
        <item m="1" x="4"/>
        <item x="0"/>
        <item x="1"/>
        <item x="2"/>
        <item x="3"/>
        <item m="1" x="5"/>
        <item t="default"/>
      </items>
    </pivotField>
    <pivotField axis="axisRow" showAll="0">
      <items count="14">
        <item x="0"/>
        <item x="1"/>
        <item m="1" x="12"/>
        <item x="2"/>
        <item x="3"/>
        <item x="4"/>
        <item x="5"/>
        <item x="6"/>
        <item x="7"/>
        <item x="8"/>
        <item x="9"/>
        <item x="10"/>
        <item m="1" x="11"/>
        <item t="default"/>
      </items>
    </pivotField>
    <pivotField showAll="0"/>
    <pivotField showAll="0"/>
    <pivotField showAll="0"/>
    <pivotField dataField="1" showAll="0"/>
    <pivotField showAll="0"/>
    <pivotField showAll="0"/>
    <pivotField showAll="0"/>
    <pivotField dragToRow="0" dragToCol="0" dragToPage="0" showAll="0" defaultSubtotal="0"/>
    <pivotField dragToRow="0" dragToCol="0" dragToPage="0" showAll="0" defaultSubtotal="0"/>
  </pivotFields>
  <rowFields count="1">
    <field x="2"/>
  </rowFields>
  <rowItems count="12">
    <i>
      <x/>
    </i>
    <i>
      <x v="1"/>
    </i>
    <i>
      <x v="3"/>
    </i>
    <i>
      <x v="4"/>
    </i>
    <i>
      <x v="5"/>
    </i>
    <i>
      <x v="6"/>
    </i>
    <i>
      <x v="7"/>
    </i>
    <i>
      <x v="8"/>
    </i>
    <i>
      <x v="9"/>
    </i>
    <i>
      <x v="10"/>
    </i>
    <i>
      <x v="11"/>
    </i>
    <i t="grand">
      <x/>
    </i>
  </rowItems>
  <colItems count="1">
    <i/>
  </colItems>
  <dataFields count="1">
    <dataField name="Sum of Cash Received (₦)" fld="6" baseField="0" baseItem="0"/>
  </dataFields>
  <formats count="4">
    <format dxfId="213">
      <pivotArea grandRow="1" outline="0" collapsedLevelsAreSubtotals="1" fieldPosition="0"/>
    </format>
    <format dxfId="214">
      <pivotArea collapsedLevelsAreSubtotals="1" fieldPosition="0">
        <references count="1">
          <reference field="2" count="1">
            <x v="0"/>
          </reference>
        </references>
      </pivotArea>
    </format>
    <format dxfId="215">
      <pivotArea outline="0" collapsedLevelsAreSubtotals="1" fieldPosition="0"/>
    </format>
    <format dxfId="216">
      <pivotArea dataOnly="0" labelOnly="1" outline="0" axis="axisValues" fieldPosition="0"/>
    </format>
  </formats>
  <chartFormats count="3">
    <chartFormat chart="6" format="4"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FBAEE7-8FEC-4037-A5DF-78BA1F2973AA}" name="PivotTable36" cacheId="455" applyNumberFormats="0" applyBorderFormats="0" applyFontFormats="0" applyPatternFormats="0" applyAlignmentFormats="0" applyWidthHeightFormats="1" dataCaption="Values" errorCaption=" " showError="1" missingCaption=" " updatedVersion="8" minRefreshableVersion="3" useAutoFormatting="1" itemPrintTitles="1" createdVersion="7" indent="0" outline="1" outlineData="1" multipleFieldFilters="0" chartFormat="9">
  <location ref="A3:B8" firstHeaderRow="1" firstDataRow="1" firstDataCol="1"/>
  <pivotFields count="12">
    <pivotField showAll="0"/>
    <pivotField axis="axisRow" showAll="0">
      <items count="7">
        <item m="1" x="4"/>
        <item m="1" x="5"/>
        <item x="0"/>
        <item x="1"/>
        <item x="2"/>
        <item x="3"/>
        <item t="default"/>
      </items>
    </pivotField>
    <pivotField showAll="0">
      <items count="14">
        <item x="0"/>
        <item x="1"/>
        <item x="2"/>
        <item x="3"/>
        <item x="4"/>
        <item x="5"/>
        <item x="6"/>
        <item x="7"/>
        <item x="8"/>
        <item x="9"/>
        <item x="10"/>
        <item m="1" x="11"/>
        <item m="1" x="12"/>
        <item t="default"/>
      </items>
    </pivotField>
    <pivotField showAll="0"/>
    <pivotField showAll="0"/>
    <pivotField showAll="0"/>
    <pivotField dataField="1" showAll="0"/>
    <pivotField showAll="0"/>
    <pivotField showAll="0"/>
    <pivotField showAll="0"/>
    <pivotField dragToRow="0" dragToCol="0" dragToPage="0" showAll="0" defaultSubtotal="0"/>
    <pivotField dragToRow="0" dragToCol="0" dragToPage="0" showAll="0" defaultSubtotal="0"/>
  </pivotFields>
  <rowFields count="1">
    <field x="1"/>
  </rowFields>
  <rowItems count="5">
    <i>
      <x v="2"/>
    </i>
    <i>
      <x v="3"/>
    </i>
    <i>
      <x v="4"/>
    </i>
    <i>
      <x v="5"/>
    </i>
    <i t="grand">
      <x/>
    </i>
  </rowItems>
  <colItems count="1">
    <i/>
  </colItems>
  <dataFields count="1">
    <dataField name="Sum of Cash Received (₦)" fld="6" baseField="0" baseItem="0"/>
  </dataFields>
  <formats count="3">
    <format dxfId="210">
      <pivotArea grandRow="1" outline="0" collapsedLevelsAreSubtotals="1" fieldPosition="0"/>
    </format>
    <format dxfId="211">
      <pivotArea outline="0" collapsedLevelsAreSubtotals="1" fieldPosition="0"/>
    </format>
    <format dxfId="212">
      <pivotArea dataOnly="0" labelOnly="1" outline="0" axis="axisValues" fieldPosition="0"/>
    </format>
  </formats>
  <chartFormats count="5">
    <chartFormat chart="0"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EDD04B-FC64-401F-9B2D-3D4FCD4F885D}" name="PivotTable36" cacheId="455"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5">
  <location ref="A3:C15" firstHeaderRow="0" firstDataRow="1" firstDataCol="1"/>
  <pivotFields count="12">
    <pivotField showAll="0"/>
    <pivotField showAll="0">
      <items count="7">
        <item m="1" x="4"/>
        <item x="0"/>
        <item x="1"/>
        <item x="2"/>
        <item x="3"/>
        <item m="1" x="5"/>
        <item t="default"/>
      </items>
    </pivotField>
    <pivotField axis="axisRow" showAll="0">
      <items count="14">
        <item x="0"/>
        <item x="1"/>
        <item m="1" x="12"/>
        <item x="2"/>
        <item x="3"/>
        <item x="4"/>
        <item x="5"/>
        <item x="6"/>
        <item x="7"/>
        <item x="8"/>
        <item x="9"/>
        <item x="10"/>
        <item m="1" x="11"/>
        <item t="default"/>
      </items>
    </pivotField>
    <pivotField showAll="0"/>
    <pivotField showAll="0"/>
    <pivotField showAll="0"/>
    <pivotField dataField="1" showAll="0"/>
    <pivotField dataField="1" showAll="0"/>
    <pivotField showAll="0"/>
    <pivotField showAll="0"/>
    <pivotField dragToRow="0" dragToCol="0" dragToPage="0" showAll="0" defaultSubtotal="0"/>
    <pivotField dragToRow="0" dragToCol="0" dragToPage="0" showAll="0" defaultSubtotal="0"/>
  </pivotFields>
  <rowFields count="1">
    <field x="2"/>
  </rowFields>
  <rowItems count="12">
    <i>
      <x/>
    </i>
    <i>
      <x v="1"/>
    </i>
    <i>
      <x v="3"/>
    </i>
    <i>
      <x v="4"/>
    </i>
    <i>
      <x v="5"/>
    </i>
    <i>
      <x v="6"/>
    </i>
    <i>
      <x v="7"/>
    </i>
    <i>
      <x v="8"/>
    </i>
    <i>
      <x v="9"/>
    </i>
    <i>
      <x v="10"/>
    </i>
    <i>
      <x v="11"/>
    </i>
    <i t="grand">
      <x/>
    </i>
  </rowItems>
  <colFields count="1">
    <field x="-2"/>
  </colFields>
  <colItems count="2">
    <i>
      <x/>
    </i>
    <i i="1">
      <x v="1"/>
    </i>
  </colItems>
  <dataFields count="2">
    <dataField name="Sum of Cash Received (₦)" fld="6" baseField="0" baseItem="0"/>
    <dataField name="Sum of Outstanding Balance (₦)" fld="7" baseField="0" baseItem="0"/>
  </dataFields>
  <formats count="1">
    <format dxfId="209">
      <pivotArea grandRow="1" outline="0" collapsedLevelsAreSubtotals="1" fieldPosition="0"/>
    </format>
  </formats>
  <chartFormats count="4">
    <chartFormat chart="14" format="12"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14" format="13" series="1">
      <pivotArea type="data" outline="0" fieldPosition="0">
        <references count="1">
          <reference field="4294967294" count="1" selected="0">
            <x v="1"/>
          </reference>
        </references>
      </pivotArea>
    </chartFormat>
    <chartFormat chart="1"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B0D6E76-D77F-425B-B2A9-2451249617E0}" name="PivotTable36" cacheId="455"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8">
  <location ref="A3:C8" firstHeaderRow="0" firstDataRow="1" firstDataCol="1"/>
  <pivotFields count="12">
    <pivotField showAll="0"/>
    <pivotField axis="axisRow" showAll="0">
      <items count="7">
        <item m="1" x="4"/>
        <item m="1" x="5"/>
        <item x="0"/>
        <item x="1"/>
        <item x="2"/>
        <item x="3"/>
        <item t="default"/>
      </items>
    </pivotField>
    <pivotField showAll="0">
      <items count="14">
        <item x="0"/>
        <item x="1"/>
        <item x="2"/>
        <item x="3"/>
        <item x="4"/>
        <item x="5"/>
        <item x="6"/>
        <item x="7"/>
        <item x="8"/>
        <item x="9"/>
        <item x="10"/>
        <item m="1" x="11"/>
        <item m="1" x="12"/>
        <item t="default"/>
      </items>
    </pivotField>
    <pivotField showAll="0"/>
    <pivotField showAll="0"/>
    <pivotField showAll="0"/>
    <pivotField dataField="1" showAll="0"/>
    <pivotField dataField="1" showAll="0"/>
    <pivotField showAll="0"/>
    <pivotField showAll="0"/>
    <pivotField dragToRow="0" dragToCol="0" dragToPage="0" showAll="0" defaultSubtotal="0"/>
    <pivotField dragToRow="0" dragToCol="0" dragToPage="0" showAll="0" defaultSubtotal="0"/>
  </pivotFields>
  <rowFields count="1">
    <field x="1"/>
  </rowFields>
  <rowItems count="5">
    <i>
      <x v="2"/>
    </i>
    <i>
      <x v="3"/>
    </i>
    <i>
      <x v="4"/>
    </i>
    <i>
      <x v="5"/>
    </i>
    <i t="grand">
      <x/>
    </i>
  </rowItems>
  <colFields count="1">
    <field x="-2"/>
  </colFields>
  <colItems count="2">
    <i>
      <x/>
    </i>
    <i i="1">
      <x v="1"/>
    </i>
  </colItems>
  <dataFields count="2">
    <dataField name="Sum of Cash Received (₦)" fld="6" baseField="0" baseItem="0"/>
    <dataField name="Sum of Outstanding Balance (₦)" fld="7" baseField="0" baseItem="0"/>
  </dataFields>
  <formats count="1">
    <format dxfId="208">
      <pivotArea grandRow="1" outline="0" collapsedLevelsAreSubtotals="1" fieldPosition="0"/>
    </format>
  </formats>
  <chartFormats count="2">
    <chartFormat chart="1" format="5" series="1">
      <pivotArea type="data" outline="0" fieldPosition="0">
        <references count="1">
          <reference field="4294967294" count="1" selected="0">
            <x v="0"/>
          </reference>
        </references>
      </pivotArea>
    </chartFormat>
    <chartFormat chart="1"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12552FC-F135-4D1C-AAC4-8EC40EB35C58}" name="PivotTable36" cacheId="455" applyNumberFormats="0" applyBorderFormats="0" applyFontFormats="0" applyPatternFormats="0" applyAlignmentFormats="0" applyWidthHeightFormats="1" dataCaption="Values" missingCaption=" " updatedVersion="8" minRefreshableVersion="3" itemPrintTitles="1" createdVersion="7" indent="0" outline="1" outlineData="1" multipleFieldFilters="0" chartFormat="16">
  <location ref="A3:D17" firstHeaderRow="0" firstDataRow="1" firstDataCol="1"/>
  <pivotFields count="12">
    <pivotField showAll="0"/>
    <pivotField showAll="0">
      <items count="7">
        <item m="1" x="4"/>
        <item x="0"/>
        <item x="1"/>
        <item x="2"/>
        <item x="3"/>
        <item m="1" x="5"/>
        <item t="default"/>
      </items>
    </pivotField>
    <pivotField showAll="0">
      <items count="14">
        <item x="0"/>
        <item x="1"/>
        <item x="2"/>
        <item x="3"/>
        <item x="4"/>
        <item x="5"/>
        <item x="6"/>
        <item x="7"/>
        <item x="8"/>
        <item x="9"/>
        <item x="10"/>
        <item m="1" x="11"/>
        <item m="1" x="12"/>
        <item t="default"/>
      </items>
    </pivotField>
    <pivotField axis="axisRow" showAll="0">
      <items count="16">
        <item x="0"/>
        <item x="6"/>
        <item x="12"/>
        <item x="3"/>
        <item x="4"/>
        <item x="7"/>
        <item x="5"/>
        <item x="8"/>
        <item x="1"/>
        <item x="9"/>
        <item x="2"/>
        <item x="10"/>
        <item m="1" x="13"/>
        <item m="1" x="14"/>
        <item x="11"/>
        <item t="default"/>
      </items>
    </pivotField>
    <pivotField showAll="0"/>
    <pivotField showAll="0"/>
    <pivotField dataField="1" showAll="0"/>
    <pivotField dataField="1" showAll="0"/>
    <pivotField showAll="0"/>
    <pivotField showAll="0"/>
    <pivotField dragToRow="0" dragToCol="0" dragToPage="0" showAll="0" defaultSubtotal="0"/>
    <pivotField dataField="1" dragToRow="0" dragToCol="0" dragToPage="0" showAll="0" defaultSubtotal="0"/>
  </pivotFields>
  <rowFields count="1">
    <field x="3"/>
  </rowFields>
  <rowItems count="14">
    <i>
      <x/>
    </i>
    <i>
      <x v="1"/>
    </i>
    <i>
      <x v="2"/>
    </i>
    <i>
      <x v="3"/>
    </i>
    <i>
      <x v="4"/>
    </i>
    <i>
      <x v="5"/>
    </i>
    <i>
      <x v="6"/>
    </i>
    <i>
      <x v="7"/>
    </i>
    <i>
      <x v="8"/>
    </i>
    <i>
      <x v="9"/>
    </i>
    <i>
      <x v="10"/>
    </i>
    <i>
      <x v="11"/>
    </i>
    <i>
      <x v="14"/>
    </i>
    <i t="grand">
      <x/>
    </i>
  </rowItems>
  <colFields count="1">
    <field x="-2"/>
  </colFields>
  <colItems count="3">
    <i>
      <x/>
    </i>
    <i i="1">
      <x v="1"/>
    </i>
    <i i="2">
      <x v="2"/>
    </i>
  </colItems>
  <dataFields count="3">
    <dataField name="Sum of % PAID" fld="11" baseField="0" baseItem="0" numFmtId="10"/>
    <dataField name="Sum of Outstanding Balance (₦)" fld="7" baseField="0" baseItem="0"/>
    <dataField name="Sum of Cash Received (₦)" fld="6" baseField="0" baseItem="0"/>
  </dataFields>
  <formats count="6">
    <format dxfId="202">
      <pivotArea grandRow="1" outline="0" collapsedLevelsAreSubtotals="1" fieldPosition="0"/>
    </format>
    <format dxfId="203">
      <pivotArea type="all" dataOnly="0" outline="0" fieldPosition="0"/>
    </format>
    <format dxfId="204">
      <pivotArea outline="0" collapsedLevelsAreSubtotals="1" fieldPosition="0"/>
    </format>
    <format dxfId="205">
      <pivotArea dataOnly="0" labelOnly="1" grandRow="1" outline="0" fieldPosition="0"/>
    </format>
    <format dxfId="206">
      <pivotArea outline="0" collapsedLevelsAreSubtotals="1" fieldPosition="0">
        <references count="1">
          <reference field="4294967294" count="1" selected="0">
            <x v="0"/>
          </reference>
        </references>
      </pivotArea>
    </format>
    <format dxfId="207">
      <pivotArea dataOnly="0" labelOnly="1" outline="0" fieldPosition="0">
        <references count="1">
          <reference field="4294967294" count="1">
            <x v="0"/>
          </reference>
        </references>
      </pivotArea>
    </format>
  </formats>
  <chartFormats count="8">
    <chartFormat chart="0" format="3"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14" format="9" series="1">
      <pivotArea type="data" outline="0" fieldPosition="0">
        <references count="1">
          <reference field="4294967294" count="1" selected="0">
            <x v="0"/>
          </reference>
        </references>
      </pivotArea>
    </chartFormat>
    <chartFormat chart="15" format="9" series="1">
      <pivotArea type="data" outline="0" fieldPosition="0">
        <references count="1">
          <reference field="4294967294" count="1" selected="0">
            <x v="0"/>
          </reference>
        </references>
      </pivotArea>
    </chartFormat>
    <chartFormat chart="15" format="19"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1"/>
          </reference>
        </references>
      </pivotArea>
    </chartFormat>
    <chartFormat chart="15" format="20" series="1">
      <pivotArea type="data" outline="0" fieldPosition="0">
        <references count="1">
          <reference field="4294967294" count="1" selected="0">
            <x v="2"/>
          </reference>
        </references>
      </pivotArea>
    </chartFormat>
    <chartFormat chart="0" format="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0A9696C-3BE2-4D03-800E-C816B5CEC6BC}" name="PivotTable36" cacheId="455" applyNumberFormats="0" applyBorderFormats="0" applyFontFormats="0" applyPatternFormats="0" applyAlignmentFormats="0" applyWidthHeightFormats="1" dataCaption="Values" updatedVersion="8" minRefreshableVersion="3" itemPrintTitles="1" createdVersion="7" indent="0" outline="1" outlineData="1" multipleFieldFilters="0" chartFormat="1">
  <location ref="A3:B17" firstHeaderRow="1" firstDataRow="1" firstDataCol="1"/>
  <pivotFields count="12">
    <pivotField showAll="0"/>
    <pivotField showAll="0">
      <items count="7">
        <item m="1" x="4"/>
        <item x="0"/>
        <item x="1"/>
        <item x="2"/>
        <item x="3"/>
        <item m="1" x="5"/>
        <item t="default"/>
      </items>
    </pivotField>
    <pivotField showAll="0">
      <items count="14">
        <item x="0"/>
        <item x="1"/>
        <item x="2"/>
        <item x="3"/>
        <item x="4"/>
        <item x="5"/>
        <item x="6"/>
        <item x="7"/>
        <item x="8"/>
        <item x="9"/>
        <item x="10"/>
        <item m="1" x="11"/>
        <item m="1" x="12"/>
        <item t="default"/>
      </items>
    </pivotField>
    <pivotField axis="axisRow" showAll="0">
      <items count="16">
        <item x="0"/>
        <item x="6"/>
        <item x="12"/>
        <item x="3"/>
        <item x="4"/>
        <item x="7"/>
        <item x="5"/>
        <item x="8"/>
        <item x="1"/>
        <item x="9"/>
        <item x="2"/>
        <item x="10"/>
        <item m="1" x="13"/>
        <item m="1" x="14"/>
        <item x="11"/>
        <item t="default"/>
      </items>
    </pivotField>
    <pivotField dataField="1"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3"/>
  </rowFields>
  <rowItems count="14">
    <i>
      <x/>
    </i>
    <i>
      <x v="1"/>
    </i>
    <i>
      <x v="2"/>
    </i>
    <i>
      <x v="3"/>
    </i>
    <i>
      <x v="4"/>
    </i>
    <i>
      <x v="5"/>
    </i>
    <i>
      <x v="6"/>
    </i>
    <i>
      <x v="7"/>
    </i>
    <i>
      <x v="8"/>
    </i>
    <i>
      <x v="9"/>
    </i>
    <i>
      <x v="10"/>
    </i>
    <i>
      <x v="11"/>
    </i>
    <i>
      <x v="14"/>
    </i>
    <i t="grand">
      <x/>
    </i>
  </rowItems>
  <colItems count="1">
    <i/>
  </colItems>
  <dataFields count="1">
    <dataField name="Sum of Units Sold" fld="4" baseField="0" baseItem="0"/>
  </dataFields>
  <formats count="1">
    <format dxfId="201">
      <pivotArea grandRow="1"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4FD5E7C-1997-4F75-BF30-0A370F9D0FAC}" sourceName="Month">
  <pivotTables>
    <pivotTable tabId="9" name="PivotTable36"/>
    <pivotTable tabId="8" name="PivotTable36"/>
    <pivotTable tabId="14" name="PivotTable36"/>
    <pivotTable tabId="10" name="PivotTable36"/>
    <pivotTable tabId="17" name="PivotTable36"/>
    <pivotTable tabId="7" name="PivotTable36"/>
    <pivotTable tabId="13" name="PivotTable36"/>
    <pivotTable tabId="26" name="PivotTable36"/>
  </pivotTables>
  <data>
    <tabular pivotCacheId="135085906">
      <items count="13">
        <i x="0" s="1"/>
        <i x="1" s="1"/>
        <i x="2" s="1"/>
        <i x="3" s="1"/>
        <i x="4" s="1"/>
        <i x="5" s="1"/>
        <i x="6" s="1"/>
        <i x="7" s="1"/>
        <i x="8" s="1"/>
        <i x="9" s="1"/>
        <i x="10" s="1"/>
        <i x="11" s="1" nd="1"/>
        <i x="12"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TR" xr10:uid="{E440DB6F-0A00-414E-9C84-D73A763504B0}" sourceName="QTR">
  <pivotTables>
    <pivotTable tabId="13" name="PivotTable36"/>
    <pivotTable tabId="8" name="PivotTable36"/>
    <pivotTable tabId="14" name="PivotTable36"/>
    <pivotTable tabId="9" name="PivotTable36"/>
    <pivotTable tabId="26" name="PivotTable36"/>
    <pivotTable tabId="10" name="PivotTable36"/>
    <pivotTable tabId="17" name="PivotTable36"/>
    <pivotTable tabId="7" name="PivotTable36"/>
  </pivotTables>
  <data>
    <tabular pivotCacheId="135085906">
      <items count="6">
        <i x="0" s="1"/>
        <i x="1" s="1"/>
        <i x="2" s="1"/>
        <i x="3" s="1"/>
        <i x="4" s="1" nd="1"/>
        <i x="5"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IENT" xr10:uid="{4A54BB0E-A0A0-477B-A656-6033DAB779FF}" sourceName="CLIENT">
  <pivotTables>
    <pivotTable tabId="26" name="PivotTable36"/>
  </pivotTables>
  <data>
    <tabular pivotCacheId="135085906">
      <items count="15">
        <i x="0" s="1"/>
        <i x="6" s="1"/>
        <i x="12" s="1"/>
        <i x="3" s="1"/>
        <i x="4" s="1"/>
        <i x="7" s="1"/>
        <i x="11" s="1"/>
        <i x="5" s="1"/>
        <i x="8" s="1"/>
        <i x="1" s="1"/>
        <i x="9" s="1"/>
        <i x="2" s="1"/>
        <i x="10" s="1"/>
        <i x="13" s="1" nd="1"/>
        <i x="1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752773E5-6C34-40E7-96DB-3F479E9E95AE}" cache="Slicer_Month" caption="Month" style="DRUGSTOCSLICER" rowHeight="241300"/>
  <slicer name="QTR 1" xr10:uid="{70B27AC0-4E35-4698-A5F4-F4F9A359E5FF}" cache="Slicer_QTR" caption="QTR" style="DRUGSTOCSLICER" rowHeight="241300"/>
  <slicer name="CLIENT" xr10:uid="{28EAB9AB-8C00-452D-B898-55818C53523B}" cache="Slicer_CLIENT" caption="CLIENT" style="DRUGSTOCSLIC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TR" xr10:uid="{B6666288-66EA-4906-A8F8-D28B24577232}" cache="Slicer_QTR" caption="QTR"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C948FFF2-4C79-433D-9701-C0B1D8EDC511}" cache="Slicer_Month" caption="Month" style="DRUGSTOCSLICER" rowHeight="2286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2B3079C0-C67B-4EB4-BAB7-A054FEE82187}" cache="Slicer_Month" caption="Month"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05B6853-FC66-4A52-91E8-E43A2956E590}" name="JAN" displayName="JAN" ref="A1:K12" totalsRowShown="0" headerRowDxfId="170">
  <autoFilter ref="A1:K12" xr:uid="{905B6853-FC66-4A52-91E8-E43A2956E590}"/>
  <tableColumns count="11">
    <tableColumn id="1" xr3:uid="{C8F1B58E-96BB-45F6-AB9B-A4108B955B80}" name="S/N"/>
    <tableColumn id="12" xr3:uid="{A5F9C2AC-568F-446F-8631-19672CEAA726}" name="Invoice Date"/>
    <tableColumn id="19" xr3:uid="{688E0C82-8E8B-4AC8-B875-5E44EF26E641}" name="QTR">
      <calculatedColumnFormula>"Q"&amp;INT((MONTH(A2)-1)/3)+1</calculatedColumnFormula>
    </tableColumn>
    <tableColumn id="20" xr3:uid="{42BC511F-81DB-4D7C-8F5D-186349B978B9}" name="Month" dataDxfId="169">
      <calculatedColumnFormula>TEXT(JAN[[#This Row],[Invoice Date]],"MMM")</calculatedColumnFormula>
    </tableColumn>
    <tableColumn id="2" xr3:uid="{A238FEDA-65C2-41F5-AD6C-FE56E4BEAE41}" name="CLIENT"/>
    <tableColumn id="3" xr3:uid="{86E23A37-F63A-4BB5-987D-1250E7E451A8}" name="Units Sold"/>
    <tableColumn id="6" xr3:uid="{0C9742EC-2C27-474A-BC60-C1A2FFE7D8AD}" name="Invoice Value(₦)"/>
    <tableColumn id="7" xr3:uid="{E10FDBD9-CE42-43BC-AD91-5F429843F8C5}" name="Cash Received (₦)"/>
    <tableColumn id="8" xr3:uid="{CA9E73F9-2DF8-4402-B586-5C1B400CEC81}" name="Outstanding Balance (₦)" dataDxfId="168"/>
    <tableColumn id="9" xr3:uid="{9591E282-947D-4C6A-B106-0A03272C51F9}" name="Payment Status" dataDxfId="167"/>
    <tableColumn id="10" xr3:uid="{3AF40134-43CD-4E45-8CD7-1E0027DCA1E3}" name="COMMENT" dataDxfId="166"/>
  </tableColumns>
  <tableStyleInfo name="Drugstoc"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0AC64FC-4F0C-46A9-A557-1AFFA988297F}" name="FEB" displayName="FEB" ref="A1:K12" totalsRowShown="0">
  <autoFilter ref="A1:K12" xr:uid="{905B6853-FC66-4A52-91E8-E43A2956E590}"/>
  <tableColumns count="11">
    <tableColumn id="1" xr3:uid="{276461CE-D4A3-44B9-986C-39898C7180E3}" name="S/N"/>
    <tableColumn id="12" xr3:uid="{C50D6006-B8E8-4A7D-BCB9-B6E21F4032C7}" name="Invoice Date"/>
    <tableColumn id="19" xr3:uid="{7BD5FAAC-F07B-46D7-9772-FD378CC8F7A4}" name="QTR" dataDxfId="160">
      <calculatedColumnFormula>"Q"&amp;INT((MONTH(A2)-1)/3)+1</calculatedColumnFormula>
    </tableColumn>
    <tableColumn id="20" xr3:uid="{5461BA39-F29F-4019-BC7B-8FC57CCDE25E}" name="Month" dataDxfId="159">
      <calculatedColumnFormula>TEXT(FEB[[#This Row],[Invoice Date]],"MMM")</calculatedColumnFormula>
    </tableColumn>
    <tableColumn id="2" xr3:uid="{F68450D2-5014-4B05-8DA1-1CF5721CA1AF}" name="CLIENT"/>
    <tableColumn id="3" xr3:uid="{8DB13AD0-4579-4AE5-8268-0DF0F8EB11A5}" name="Units Sold"/>
    <tableColumn id="6" xr3:uid="{64EC2CB8-A2B0-4D96-9612-06E2E15B8CF3}" name="Invoice Value(₦)"/>
    <tableColumn id="7" xr3:uid="{34FE0444-37D1-40A2-A87E-48EA1CD75EA5}" name="Cash Received (₦)"/>
    <tableColumn id="8" xr3:uid="{A5F1A49A-610F-42DD-98C3-2EC92DBB2CAF}" name="Outstanding Balance (₦)" dataDxfId="158"/>
    <tableColumn id="9" xr3:uid="{1CA9267F-9A73-494F-A973-E08A74770524}" name="Payment Status" dataDxfId="157"/>
    <tableColumn id="10" xr3:uid="{F7AD6D26-3D99-4DA1-8EA3-B2DB80C73C07}" name="COMMENT" dataDxfId="156"/>
  </tableColumns>
  <tableStyleInfo name="Drugstoc"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BC59750-C6B8-4AC5-A75B-F9B1D2CD91F3}" name="MAR" displayName="MAR" ref="A1:K12" totalsRowShown="0">
  <autoFilter ref="A1:K12" xr:uid="{905B6853-FC66-4A52-91E8-E43A2956E590}"/>
  <tableColumns count="11">
    <tableColumn id="1" xr3:uid="{614641A3-AA7A-4051-96B5-8D7A7F58EA52}" name="S/N" dataDxfId="150"/>
    <tableColumn id="12" xr3:uid="{2A595340-AA08-4B77-9F6A-003584544F28}" name="Invoice Date" dataDxfId="149"/>
    <tableColumn id="19" xr3:uid="{AC75A359-6741-45D4-AB2E-03664E4E383D}" name="QTR" dataDxfId="148">
      <calculatedColumnFormula>"Q"&amp;INT((MONTH(A2)-1)/3)+1</calculatedColumnFormula>
    </tableColumn>
    <tableColumn id="20" xr3:uid="{71CBEF7C-A82C-4B1F-8B3F-EA591D5ECE03}" name="Month" dataDxfId="147">
      <calculatedColumnFormula>TEXT(MAR[[#This Row],[Invoice Date]],"MMM")</calculatedColumnFormula>
    </tableColumn>
    <tableColumn id="2" xr3:uid="{6B2DE483-8D11-4B53-BF56-3E6199BC406B}" name="CLIENT" dataDxfId="146"/>
    <tableColumn id="4" xr3:uid="{DEF7A2A9-B338-472D-9E2E-837120043838}" name="Units Sold"/>
    <tableColumn id="6" xr3:uid="{DA9E0E80-5029-41DD-ABCF-620E0996A386}" name="Invoice Value(₦)"/>
    <tableColumn id="7" xr3:uid="{C9074509-2407-450F-A075-F7C3320B8B6C}" name="Cash Received (₦)"/>
    <tableColumn id="8" xr3:uid="{896462A9-3891-4D9E-913E-A137CA686AD4}" name="Outstanding Balance (₦)" dataDxfId="145"/>
    <tableColumn id="9" xr3:uid="{640D918E-309D-4EF9-B0AE-1CC7376730E1}" name="Payment Status" dataDxfId="144"/>
    <tableColumn id="10" xr3:uid="{1D3D3FAD-A5FB-4CE2-BA96-00EE7AED43E5}" name="COMMENT" dataDxfId="143"/>
  </tableColumns>
  <tableStyleInfo name="Drugstoc"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7E1F3C-9282-4919-ACEF-111FC22061A6}" name="APR" displayName="APR" ref="A1:K12" totalsRowShown="0">
  <autoFilter ref="A1:K12" xr:uid="{905B6853-FC66-4A52-91E8-E43A2956E590}"/>
  <tableColumns count="11">
    <tableColumn id="1" xr3:uid="{D206CCD1-B963-4FDE-932D-3FEF7B79CB3E}" name="S/N" dataDxfId="132"/>
    <tableColumn id="12" xr3:uid="{EE65E745-B947-4F90-BA2E-BC4FDF12668C}" name="Invoice Date" dataDxfId="131"/>
    <tableColumn id="19" xr3:uid="{15D14FA8-6E6A-44DD-9159-02489B97D436}" name="QTR" dataDxfId="130">
      <calculatedColumnFormula>"Q"&amp;INT((MONTH(A2)-1)/3)+1</calculatedColumnFormula>
    </tableColumn>
    <tableColumn id="20" xr3:uid="{F4A27485-69D2-411C-A331-6A028B9046BF}" name="Month" dataDxfId="129">
      <calculatedColumnFormula>TEXT(APR[[#This Row],[Invoice Date]],"MMM")</calculatedColumnFormula>
    </tableColumn>
    <tableColumn id="2" xr3:uid="{AE218B1C-C7D3-4AC8-A1BD-0214F92AC6D3}" name="CLIENT" dataDxfId="128"/>
    <tableColumn id="4" xr3:uid="{7CB51E61-16A9-45D2-A1E4-70EFEF4C52FC}" name="Units Sold"/>
    <tableColumn id="6" xr3:uid="{7C12D673-9FD3-4AC6-B865-DFD37173740D}" name="Invoice Value(₦)"/>
    <tableColumn id="7" xr3:uid="{E7335A9E-0B5F-4E76-A4F8-BBFDA685C615}" name="Cash Received (₦)"/>
    <tableColumn id="8" xr3:uid="{F89AD5E1-9AF4-4D39-B1B1-A6F8A71006F0}" name="Outstanding Balance (₦)" dataDxfId="127"/>
    <tableColumn id="9" xr3:uid="{FCC97830-287D-4E48-A6B6-15A02A78DDE9}" name="Payment Status" dataDxfId="126"/>
    <tableColumn id="10" xr3:uid="{4C58176E-5A15-4BD1-8C39-939A3FEF4433}" name="COMMENT" dataDxfId="125"/>
  </tableColumns>
  <tableStyleInfo name="Drugstoc"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149404-C8FB-4079-8D5E-9D557434CE8F}" name="MAY" displayName="MAY" ref="A1:K12" totalsRowShown="0">
  <autoFilter ref="A1:K12" xr:uid="{905B6853-FC66-4A52-91E8-E43A2956E590}"/>
  <tableColumns count="11">
    <tableColumn id="1" xr3:uid="{A3D45F7D-A132-4421-8460-CC2596811FB5}" name="S/N" dataDxfId="119"/>
    <tableColumn id="12" xr3:uid="{F8485157-C3D1-4725-A81D-48C35FBE903D}" name="Invoice Date" dataDxfId="118"/>
    <tableColumn id="19" xr3:uid="{A3909C41-4CC4-45CF-9334-661FFAACE2CB}" name="QTR" dataDxfId="117">
      <calculatedColumnFormula>"Q"&amp;INT((MONTH(MAY[[#This Row],[Invoice Date]])-1)/3)+1</calculatedColumnFormula>
    </tableColumn>
    <tableColumn id="20" xr3:uid="{ED270A14-8026-4F33-A3EE-3E87576A4D83}" name="Month" dataDxfId="116">
      <calculatedColumnFormula>TEXT(MAY[[#This Row],[Invoice Date]],"MMM")</calculatedColumnFormula>
    </tableColumn>
    <tableColumn id="2" xr3:uid="{20491B4B-9181-4295-87CC-A3FF0F242B8B}" name="CLIENT"/>
    <tableColumn id="4" xr3:uid="{715AF991-C560-48DF-8040-279CD6D4E1CA}" name="Units Sold"/>
    <tableColumn id="6" xr3:uid="{CBFB15E2-0935-4887-AB95-B9E0C6D2B619}" name="Invoice Value(₦)"/>
    <tableColumn id="7" xr3:uid="{8A8C0839-2312-4C3D-80F9-8B3998A7A3ED}" name="Cash Received (₦)"/>
    <tableColumn id="8" xr3:uid="{2911D827-B411-44E1-98FF-B66E92A82C3E}" name="Outstanding Balance (₦)" dataDxfId="115"/>
    <tableColumn id="9" xr3:uid="{726976FF-C727-43CD-A41E-20DDCA977A4E}" name="Payment Status" dataDxfId="114"/>
    <tableColumn id="10" xr3:uid="{BAA59900-4287-4CF3-B931-1E5DFC6CE0C0}" name="COMMENT" dataDxfId="113"/>
  </tableColumns>
  <tableStyleInfo name="Drugstoc"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FDC094F-68CB-4FF6-AF2A-47C14BBF0DF3}" name="JUN" displayName="JUN" ref="A1:K12" totalsRowShown="0">
  <autoFilter ref="A1:K12" xr:uid="{905B6853-FC66-4A52-91E8-E43A2956E590}"/>
  <tableColumns count="11">
    <tableColumn id="1" xr3:uid="{7B89B298-ACB3-4708-BB05-2272D3AF2F22}" name="S/N" dataDxfId="107"/>
    <tableColumn id="12" xr3:uid="{CC1E0681-1621-469A-9A39-6691702D7379}" name="Invoice Date" dataDxfId="106"/>
    <tableColumn id="19" xr3:uid="{D7F740C5-EA13-463C-802C-2A6D5CC98E2C}" name="QTR" dataDxfId="105">
      <calculatedColumnFormula>"Q"&amp;INT((MONTH(JUN[[#This Row],[Invoice Date]])-1)/3)+1</calculatedColumnFormula>
    </tableColumn>
    <tableColumn id="20" xr3:uid="{E0C5FACF-82F6-4159-AF0F-43137C223B93}" name="Month" dataDxfId="104">
      <calculatedColumnFormula>TEXT(JUN[[#This Row],[Invoice Date]],"MMM")</calculatedColumnFormula>
    </tableColumn>
    <tableColumn id="2" xr3:uid="{A7A22E5C-9E1F-414F-8698-7B523FA9F6AB}" name="CLIENT" dataDxfId="103"/>
    <tableColumn id="4" xr3:uid="{58FD6769-DD6A-434F-958A-677C322B820C}" name="Units Sold"/>
    <tableColumn id="6" xr3:uid="{3AE78AD9-E7CC-4004-941A-F0A8B6D07B17}" name="Invoice Value(₦)"/>
    <tableColumn id="7" xr3:uid="{AFE4C374-1AA6-4E58-A053-9D4CC5612836}" name="Cash Received (₦)"/>
    <tableColumn id="8" xr3:uid="{080C6BE1-8ACB-43AA-9D73-109EC864D5DE}" name="Outstanding Balance (₦)" dataDxfId="102"/>
    <tableColumn id="9" xr3:uid="{422B46FB-EA56-456B-A597-3DD771C50C9F}" name="Payment Status" dataDxfId="101"/>
    <tableColumn id="10" xr3:uid="{400FF6C1-1A8B-4AC6-B265-D5164343BBE9}" name="COMMENT" dataDxfId="100"/>
  </tableColumns>
  <tableStyleInfo name="Drugstoc"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52730B5-98F7-461F-ACE0-56F62C1D88F8}" name="JUL" displayName="JUL" ref="A1:K12" totalsRowShown="0">
  <autoFilter ref="A1:K12" xr:uid="{905B6853-FC66-4A52-91E8-E43A2956E590}"/>
  <tableColumns count="11">
    <tableColumn id="1" xr3:uid="{03F82214-8623-40CA-B4D5-FC5072F125C4}" name="S/N" dataDxfId="94"/>
    <tableColumn id="12" xr3:uid="{EACF2CD8-C306-4C8D-8202-A3BF5A8D8FB3}" name="Invoice Date" dataDxfId="93"/>
    <tableColumn id="19" xr3:uid="{E9FCD7C8-3BBA-4EF7-BE9C-E6CE6A37F067}" name="QTR" dataDxfId="92">
      <calculatedColumnFormula>"Q"&amp;INT((MONTH(A2)-1)/3)+1</calculatedColumnFormula>
    </tableColumn>
    <tableColumn id="20" xr3:uid="{94AC5182-FC1F-4B8D-BB55-70BBB68BE393}" name="Month" dataDxfId="91">
      <calculatedColumnFormula>TEXT(JUL[[#This Row],[Invoice Date]],"MMM")</calculatedColumnFormula>
    </tableColumn>
    <tableColumn id="2" xr3:uid="{393EE9C8-F54D-4E5F-A6B8-50ED7CAC8ED0}" name="CLIENT" dataDxfId="90"/>
    <tableColumn id="4" xr3:uid="{F5925862-E8BF-4DFE-958C-091E5F19C36A}" name="Units Sold"/>
    <tableColumn id="6" xr3:uid="{25148DE8-753A-4DAE-BA2E-28CC2EE0F4A9}" name="Invoice Value(₦)"/>
    <tableColumn id="7" xr3:uid="{DAF94D2D-21A3-4111-AC45-22ED97E3A4D7}" name="Cash Received (₦)"/>
    <tableColumn id="8" xr3:uid="{5B4E34DB-D31C-483C-9D50-C281E809F9E1}" name="Outstanding Balance (₦)" dataDxfId="89"/>
    <tableColumn id="9" xr3:uid="{AAF81FC1-5CBF-443A-8452-9D5D34346B93}" name="Payment Status" dataDxfId="88"/>
    <tableColumn id="10" xr3:uid="{F26555E4-84FC-4655-BF08-076390128E94}" name="COMMENT" dataDxfId="87"/>
  </tableColumns>
  <tableStyleInfo name="Drugstoc"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2B4A787-0EC3-408F-8145-BBA3F97C4D35}" name="AUG" displayName="AUG" ref="A1:K12" totalsRowShown="0">
  <autoFilter ref="A1:K12" xr:uid="{905B6853-FC66-4A52-91E8-E43A2956E590}"/>
  <tableColumns count="11">
    <tableColumn id="1" xr3:uid="{49BD4AC9-BF64-4808-A637-E5BBA30DF182}" name="S/N" dataDxfId="65"/>
    <tableColumn id="12" xr3:uid="{408E73E7-5ED3-4594-B459-E4FD0D8ABB0D}" name="Invoice Date" dataDxfId="64"/>
    <tableColumn id="19" xr3:uid="{7E3D5DE5-23A2-4071-9A4F-8ACEC0337DD9}" name="QTR" dataDxfId="63">
      <calculatedColumnFormula>"Q"&amp;INT((MONTH(A2)-1)/3)+1</calculatedColumnFormula>
    </tableColumn>
    <tableColumn id="20" xr3:uid="{D55BD187-7485-4C49-B005-1A236023B294}" name="Month" dataDxfId="62">
      <calculatedColumnFormula>TEXT(AUG[[#This Row],[Invoice Date]],"MMM")</calculatedColumnFormula>
    </tableColumn>
    <tableColumn id="2" xr3:uid="{16370106-38B7-4E85-8C31-27318200F7FF}" name="CLIENT" dataDxfId="61"/>
    <tableColumn id="4" xr3:uid="{DF4EF1F9-4AC5-40C4-A665-8EC87BF84560}" name="Units Sold"/>
    <tableColumn id="6" xr3:uid="{04F1D764-AC49-4758-A382-152E6539FD91}" name="Invoice Value(₦)"/>
    <tableColumn id="7" xr3:uid="{6D75D2C8-C1E8-4B9F-8AC7-541A157BA4CA}" name="Cash Received (₦)"/>
    <tableColumn id="8" xr3:uid="{07378C1D-0091-40A4-869E-C1417CC42410}" name="Outstanding Balance (₦)" dataDxfId="60"/>
    <tableColumn id="9" xr3:uid="{EBC6A5A3-8201-442F-8223-092EA30204A4}" name="Payment Status" dataDxfId="59"/>
    <tableColumn id="10" xr3:uid="{25874F4B-AC8E-4AD1-82F7-D38EFBF50B9F}" name="COMMENT" dataDxfId="58"/>
  </tableColumns>
  <tableStyleInfo name="Drugstoc"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123AC27-0537-49F7-BFB9-5305258A2DAC}" name="SEP" displayName="SEP" ref="A1:K12" totalsRowShown="0">
  <autoFilter ref="A1:K12" xr:uid="{905B6853-FC66-4A52-91E8-E43A2956E590}"/>
  <tableColumns count="11">
    <tableColumn id="1" xr3:uid="{E021D078-0810-4CCD-90DA-C8A7E15220A9}" name="S/N" dataDxfId="52"/>
    <tableColumn id="12" xr3:uid="{6D9665B9-2B0E-4935-A345-263781EC9C56}" name="Invoice Date" dataDxfId="51"/>
    <tableColumn id="19" xr3:uid="{8988B176-86FB-4888-9B16-204FCABEFCE4}" name="QTR" dataDxfId="50">
      <calculatedColumnFormula>"Q"&amp;INT((MONTH(SEP[[#This Row],[Invoice Date]])-1)/3)+1</calculatedColumnFormula>
    </tableColumn>
    <tableColumn id="20" xr3:uid="{656A066E-445B-4EFA-8777-10936B5CD50F}" name="Month" dataDxfId="49">
      <calculatedColumnFormula>TEXT(SEP[[#This Row],[Invoice Date]],"MMM")</calculatedColumnFormula>
    </tableColumn>
    <tableColumn id="2" xr3:uid="{85A69BA9-2B81-4F9F-A450-59141F8A0526}" name="CLIENT" dataDxfId="48"/>
    <tableColumn id="4" xr3:uid="{97C9282F-9730-4E9D-959C-DAFD44BB66E9}" name="Units Sold"/>
    <tableColumn id="6" xr3:uid="{DFA87269-679E-4486-B7B3-DB4A3CF9E8EA}" name="Invoice Value(₦)"/>
    <tableColumn id="7" xr3:uid="{994E76D8-1A78-4DF1-9C17-A7A24A9A16A5}" name="Cash Received (₦)"/>
    <tableColumn id="8" xr3:uid="{4B6BC59C-95E7-4DC9-BE6A-581471E669AD}" name="Outstanding Balance (₦)" dataDxfId="47"/>
    <tableColumn id="9" xr3:uid="{53F8FC15-5C68-42E0-ACA6-9A8D9EDD5E96}" name="Payment Status" dataDxfId="46"/>
    <tableColumn id="10" xr3:uid="{BA107738-8977-4469-A4B9-408F7C16F544}" name="COMMENT" dataDxfId="45"/>
  </tableColumns>
  <tableStyleInfo name="Drugstoc"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6476AE9-C870-4630-B434-46E95CB44559}" name="OCT" displayName="OCT" ref="A1:K12" totalsRowShown="0">
  <autoFilter ref="A1:K12" xr:uid="{905B6853-FC66-4A52-91E8-E43A2956E590}"/>
  <tableColumns count="11">
    <tableColumn id="1" xr3:uid="{C519E6BD-7901-4B27-A279-732CC0FBB862}" name="S/N" dataDxfId="39"/>
    <tableColumn id="12" xr3:uid="{915AC42F-1CC9-478C-A220-14E14DC08DCF}" name="Invoice Date" dataDxfId="38"/>
    <tableColumn id="19" xr3:uid="{21F5F3FB-D179-436A-BC77-8EDF1CBF9E58}" name="QTR" dataDxfId="37">
      <calculatedColumnFormula>"Q"&amp;INT((MONTH(OCT[[#This Row],[Invoice Date]])-1)/3)+1</calculatedColumnFormula>
    </tableColumn>
    <tableColumn id="20" xr3:uid="{509C91E9-5C1C-48BF-9552-FF09D5912EDC}" name="Month" dataDxfId="36">
      <calculatedColumnFormula>TEXT(OCT[[#This Row],[Invoice Date]],"MMM")</calculatedColumnFormula>
    </tableColumn>
    <tableColumn id="2" xr3:uid="{F8D5456D-4803-4B64-B0FA-54D73E5F4014}" name="CLIENT" dataDxfId="35"/>
    <tableColumn id="3" xr3:uid="{E9FF24A9-732F-49F2-9D26-BA9558C3E901}" name="Units Sold"/>
    <tableColumn id="6" xr3:uid="{0BF993DE-5EE2-4830-B0C0-EFAABDE1DFE9}" name="Invoice Value(₦)"/>
    <tableColumn id="7" xr3:uid="{B9814C0F-1537-4B46-B8AB-AAAA0711F83C}" name="Cash Received (₦)"/>
    <tableColumn id="8" xr3:uid="{0AC37EDD-034D-4ADE-8F35-C083D3053B91}" name="Outstanding Balance (₦)" dataDxfId="34"/>
    <tableColumn id="9" xr3:uid="{B4AEA127-AFB7-4358-B974-08A2028F6E26}" name="Payment Status" dataDxfId="33"/>
    <tableColumn id="10" xr3:uid="{78B9E096-7C6F-4AF7-B867-1A9A7778DCE7}" name="COMMENT" dataDxfId="32"/>
  </tableColumns>
  <tableStyleInfo name="Drugstoc"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5D1FC69-DCBA-4BE8-BDDF-B2963D1738B0}" name="NOV" displayName="NOV" ref="A1:K13" totalsRowShown="0">
  <autoFilter ref="A1:K13" xr:uid="{905B6853-FC66-4A52-91E8-E43A2956E590}"/>
  <tableColumns count="11">
    <tableColumn id="1" xr3:uid="{9290C542-2A8D-49E5-95E7-0E7EBA8125CA}" name="S/N" dataDxfId="26"/>
    <tableColumn id="12" xr3:uid="{93BBBC5B-E79F-4B00-906C-7CC1A4C5926F}" name="Invoice Date" dataDxfId="25"/>
    <tableColumn id="19" xr3:uid="{1360DF66-8C5D-4A0B-9EC4-79D931DFF947}" name="QTR" dataDxfId="24">
      <calculatedColumnFormula>"Q"&amp;INT((MONTH(NOV[[#This Row],[Invoice Date]])-1)/3)+1</calculatedColumnFormula>
    </tableColumn>
    <tableColumn id="20" xr3:uid="{5FC2D05A-7887-4A48-A451-93007E5DED45}" name="Month" dataDxfId="23">
      <calculatedColumnFormula>TEXT(NOV[[#This Row],[Invoice Date]],"MMM")</calculatedColumnFormula>
    </tableColumn>
    <tableColumn id="2" xr3:uid="{C1C6854A-5308-4938-B30E-438E2920A6C3}" name="CLIENT" dataDxfId="22"/>
    <tableColumn id="3" xr3:uid="{5428C53C-948D-455B-B957-7786F6C5A3C1}" name="Units Sold" dataDxfId="21"/>
    <tableColumn id="6" xr3:uid="{8C76FE3C-F508-4F16-AEDC-51929FE99689}" name="Invoice Value(₦)" dataDxfId="20"/>
    <tableColumn id="7" xr3:uid="{EBD1A821-BB11-468E-A5AE-FE2BEF587D8D}" name="Cash Received (₦)" dataDxfId="19"/>
    <tableColumn id="8" xr3:uid="{7FEA3983-68A8-40AE-BE83-653475E07BE2}" name="Outstanding Balance (₦)" dataDxfId="18"/>
    <tableColumn id="9" xr3:uid="{1CCA51FB-3776-4669-ABA3-7281DFC09FA5}" name="Payment Status" dataDxfId="17"/>
    <tableColumn id="10" xr3:uid="{56FEE426-0B32-4B45-9FAF-55532517D5F4}" name="COMMENT" dataDxfId="16"/>
  </tableColumns>
  <tableStyleInfo name="Drugstoc"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F49A9ED-2F57-4081-B512-7E449E5814F0}" name="Table245131514" displayName="Table245131514" ref="A1:K14" totalsRowShown="0">
  <autoFilter ref="A1:K14" xr:uid="{905B6853-FC66-4A52-91E8-E43A2956E590}"/>
  <tableColumns count="11">
    <tableColumn id="1" xr3:uid="{3F0303EA-74A5-485F-ACEE-643DCAC17125}" name="S/N" dataDxfId="10"/>
    <tableColumn id="12" xr3:uid="{4010DDE1-09B9-41CB-808B-7A64FF239B32}" name="Invoice Date" dataDxfId="9"/>
    <tableColumn id="19" xr3:uid="{F19BBD53-AC85-4F3D-970B-781026D7C932}" name="QTR" dataDxfId="8">
      <calculatedColumnFormula>"Q"&amp;INT((MONTH(A2)-1)/3)+1</calculatedColumnFormula>
    </tableColumn>
    <tableColumn id="20" xr3:uid="{DDC924AD-B088-480B-A737-0098BE4C4A6E}" name="Month" dataDxfId="7">
      <calculatedColumnFormula>TEXT(Table245131514[[#This Row],[Invoice Date]],"MMM")</calculatedColumnFormula>
    </tableColumn>
    <tableColumn id="2" xr3:uid="{2E809BA0-2F80-4D27-A1BD-C12163704509}" name="CLIENT" dataDxfId="6"/>
    <tableColumn id="3" xr3:uid="{E929593B-85C5-4942-A6F3-6A14603C735C}" name="Units Sold" dataDxfId="5"/>
    <tableColumn id="6" xr3:uid="{51E9D529-F565-406F-8BD2-DADEBFBD41E9}" name="Invoice Value(₦)" dataDxfId="4"/>
    <tableColumn id="7" xr3:uid="{CD5C9ED3-D20D-4F6F-8931-3C7B689E9536}" name="Cash Received (₦)" dataDxfId="3"/>
    <tableColumn id="8" xr3:uid="{5ACA9A21-4742-4266-9CE7-EDA2C4443CA0}" name="Outstanding Balance (₦)" dataDxfId="2"/>
    <tableColumn id="9" xr3:uid="{B5DF965B-4118-4945-A554-8040D13E0F06}" name="Payment Status" dataDxfId="1"/>
    <tableColumn id="10" xr3:uid="{C685897C-CA30-457B-BC53-FD5BC12BD91C}" name="COMMENT" dataDxfId="0"/>
  </tableColumns>
  <tableStyleInfo name="Drugstoc"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1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20.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3.bin"/><Relationship Id="rId1" Type="http://schemas.openxmlformats.org/officeDocument/2006/relationships/pivotTable" Target="../pivotTables/pivotTable7.xml"/><Relationship Id="rId4" Type="http://schemas.microsoft.com/office/2007/relationships/slicer" Target="../slicers/slicer4.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5EE23-D5EB-493B-B49B-C83AA83892D9}">
  <dimension ref="A1"/>
  <sheetViews>
    <sheetView tabSelected="1" topLeftCell="A16" zoomScale="46" zoomScaleNormal="55" workbookViewId="0">
      <selection activeCell="R20" sqref="R20"/>
    </sheetView>
  </sheetViews>
  <sheetFormatPr defaultColWidth="8.7109375" defaultRowHeight="14.45"/>
  <cols>
    <col min="1" max="16384" width="8.7109375" style="34"/>
  </cols>
  <sheetData/>
  <pageMargins left="0.7" right="0.7" top="0.75" bottom="0.75" header="0.3" footer="0.3"/>
  <pageSetup paperSize="3" scale="60" fitToWidth="0" fitToHeight="0"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D3558-C594-4DD4-B652-2CC33F85F571}">
  <dimension ref="A1:O146"/>
  <sheetViews>
    <sheetView topLeftCell="E60" workbookViewId="0">
      <selection activeCell="J22" sqref="J22"/>
    </sheetView>
  </sheetViews>
  <sheetFormatPr defaultRowHeight="15" customHeight="1"/>
  <cols>
    <col min="2" max="3" width="8.7109375" style="5"/>
    <col min="4" max="4" width="24.28515625" style="32" customWidth="1"/>
    <col min="5" max="5" width="23.5703125" style="5" customWidth="1"/>
    <col min="6" max="6" width="19" style="5" customWidth="1"/>
    <col min="7" max="7" width="11.28515625" style="26" customWidth="1"/>
    <col min="8" max="8" width="22.28515625" style="7" customWidth="1"/>
    <col min="9" max="9" width="21.140625" style="6" customWidth="1"/>
    <col min="10" max="10" width="20.28515625" style="11" customWidth="1"/>
    <col min="11" max="11" width="24.42578125" style="28" customWidth="1"/>
  </cols>
  <sheetData>
    <row r="1" spans="1:15" ht="28.5" customHeight="1">
      <c r="A1" s="49" t="s">
        <v>0</v>
      </c>
      <c r="B1" s="49" t="s">
        <v>1</v>
      </c>
      <c r="C1" s="49" t="s">
        <v>2</v>
      </c>
      <c r="D1" s="48" t="s">
        <v>3</v>
      </c>
      <c r="E1" s="48" t="s">
        <v>4</v>
      </c>
      <c r="F1" s="48" t="s">
        <v>5</v>
      </c>
      <c r="G1" s="49" t="s">
        <v>6</v>
      </c>
      <c r="H1" s="49" t="s">
        <v>7</v>
      </c>
      <c r="I1" s="49" t="s">
        <v>8</v>
      </c>
      <c r="J1" s="48" t="s">
        <v>9</v>
      </c>
      <c r="K1" s="49" t="s">
        <v>10</v>
      </c>
    </row>
    <row r="2" spans="1:15" ht="31.9" customHeight="1">
      <c r="A2" s="54" cm="1">
        <f t="array" ref="A2:A123">_xlfn.VSTACK(JAN[S/N], FEB[S/N], MAR[S/N], APR[S/N], MAY[S/N], JUN[S/N], JUL[S/N], AUG[S/N], SEP[S/N], OCT[S/N], NOV[S/N])</f>
        <v>1</v>
      </c>
      <c r="B2" s="54" cm="1">
        <f t="array" ref="B2:B123">_xlfn.VSTACK(JAN[Invoice Date], FEB[Invoice Date], MAR[Invoice Date], APR[Invoice Date], MAY[Invoice Date], JUN[Invoice Date], JUL[Invoice Date], AUG[Invoice Date], SEP[Invoice Date], OCT[Invoice Date], NOV[Invoice Date])</f>
        <v>43861</v>
      </c>
      <c r="C2" s="54" t="str" cm="1">
        <f t="array" ref="C2:C123">_xlfn.VSTACK(JAN[QTR], FEB[QTR], MAR[QTR], APR[QTR], MAY[QTR], JUN[QTR], JUL[QTR], AUG[QTR], SEP[QTR], OCT[QTR], NOV[QTR])</f>
        <v>Q1</v>
      </c>
      <c r="D2" s="55" t="str" cm="1">
        <f t="array" ref="D2:D123">_xlfn.VSTACK(JAN[Month], FEB[Month], MAR[Month], APR[Month], MAY[Month], JUN[Month], JUL[Month], AUG[Month], SEP[Month], OCT[Month], NOV[Month])</f>
        <v>Jan</v>
      </c>
      <c r="E2" s="55" t="str" cm="1">
        <f t="array" ref="E2:E123">_xlfn.VSTACK(JAN[CLIENT], FEB[CLIENT], MAR[CLIENT], APR[CLIENT], MAY[CLIENT], JUN[CLIENT], JUL[CLIENT], AUG[CLIENT], SEP[CLIENT], OCT[CLIENT], NOV[CLIENT])</f>
        <v>BluePeak Gadgets Ltd</v>
      </c>
      <c r="F2" s="54" cm="1">
        <f t="array" ref="F2:F123">_xlfn.VSTACK(JAN[Units Sold], FEB[Units Sold], MAR[Units Sold], APR[Units Sold], MAY[Units Sold], JUN[Units Sold], JUL[Units Sold], AUG[Units Sold], SEP[Units Sold], OCT[Units Sold], NOV[Units Sold])</f>
        <v>111</v>
      </c>
      <c r="G2" s="54" cm="1">
        <f t="array" ref="G2:G123">_xlfn.VSTACK(JAN[Invoice Value(₦)], FEB[Invoice Value(₦)], MAR[Invoice Value(₦)], APR[Invoice Value(₦)], MAY[Invoice Value(₦)], JUN[Invoice Value(₦)], JUL[Invoice Value(₦)], AUG[Invoice Value(₦)], SEP[Invoice Value(₦)], OCT[Invoice Value(₦)], NOV[Invoice Value(₦)])</f>
        <v>5650120.5</v>
      </c>
      <c r="H2" s="56" cm="1">
        <f t="array" ref="H2:H123">_xlfn.VSTACK(JAN[Cash Received (₦)], FEB[Cash Received (₦)], MAR[Cash Received (₦)], APR[Cash Received (₦)], MAY[Cash Received (₦)], JUN[Cash Received (₦)], JUL[Cash Received (₦)], AUG[Cash Received (₦)], SEP[Cash Received (₦)], OCT[Cash Received (₦)], NOV[Cash Received (₦)])</f>
        <v>5650120.5</v>
      </c>
      <c r="I2" s="57" cm="1">
        <f t="array" ref="I2:I123">_xlfn.VSTACK(JAN[Outstanding Balance (₦)], FEB[Outstanding Balance (₦)], MAR[Outstanding Balance (₦)], APR[Outstanding Balance (₦)], MAY[Outstanding Balance (₦)], JUN[Outstanding Balance (₦)], JUL[Outstanding Balance (₦)], AUG[Outstanding Balance (₦)], SEP[Outstanding Balance (₦)], OCT[Outstanding Balance (₦)], NOV[Outstanding Balance (₦)])</f>
        <v>0</v>
      </c>
      <c r="J2" s="9" t="str" cm="1">
        <f t="array" ref="J2:J123">_xlfn.VSTACK(JAN[Payment Status], FEB[Payment Status], MAR[Payment Status], APR[Payment Status], MAY[Payment Status], JUN[Payment Status], JUL[Payment Status], AUG[Payment Status], SEP[Payment Status], OCT[Payment Status], NOV[Payment Status])</f>
        <v>PAID</v>
      </c>
      <c r="K2" s="58"/>
      <c r="O2" s="44">
        <f>SUM(F:F)</f>
        <v>3164</v>
      </c>
    </row>
    <row r="3" spans="1:15" ht="14.45">
      <c r="A3" s="54">
        <v>2</v>
      </c>
      <c r="B3" s="54">
        <v>43861</v>
      </c>
      <c r="C3" s="54" t="str">
        <v>Q1</v>
      </c>
      <c r="D3" s="55" t="str">
        <v>Jan</v>
      </c>
      <c r="E3" s="55" t="str">
        <v>SignalPro Devices</v>
      </c>
      <c r="F3" s="54">
        <v>4</v>
      </c>
      <c r="G3" s="54">
        <v>10115500</v>
      </c>
      <c r="H3" s="56">
        <v>10115500</v>
      </c>
      <c r="I3" s="57">
        <v>0</v>
      </c>
      <c r="J3" s="13" t="str">
        <v>PAID</v>
      </c>
      <c r="K3" s="59"/>
    </row>
    <row r="4" spans="1:15" ht="14.45">
      <c r="A4" s="54">
        <v>3</v>
      </c>
      <c r="B4" s="54">
        <v>43861</v>
      </c>
      <c r="C4" s="54" t="str">
        <v>Q1</v>
      </c>
      <c r="D4" s="55" t="str">
        <v>Jan</v>
      </c>
      <c r="E4" s="55" t="str">
        <v>UrbanWave Mobiles</v>
      </c>
      <c r="F4" s="54">
        <v>11</v>
      </c>
      <c r="G4" s="54">
        <v>150320</v>
      </c>
      <c r="H4" s="56">
        <v>150320</v>
      </c>
      <c r="I4" s="57">
        <v>0</v>
      </c>
      <c r="J4" s="9" t="str">
        <v>PAID</v>
      </c>
      <c r="K4" s="58"/>
    </row>
    <row r="5" spans="1:15" ht="14.45">
      <c r="A5" s="54">
        <v>4</v>
      </c>
      <c r="B5" s="54">
        <v>43861</v>
      </c>
      <c r="C5" s="54" t="str">
        <v>Q1</v>
      </c>
      <c r="D5" s="55" t="str">
        <v>Jan</v>
      </c>
      <c r="E5" s="55" t="str">
        <v>CoreLink Technologies</v>
      </c>
      <c r="F5" s="54">
        <v>12</v>
      </c>
      <c r="G5" s="54">
        <v>220900</v>
      </c>
      <c r="H5" s="56">
        <v>220900</v>
      </c>
      <c r="I5" s="57">
        <v>0</v>
      </c>
      <c r="J5" s="13" t="str">
        <v>PAID</v>
      </c>
      <c r="K5" s="58"/>
    </row>
    <row r="6" spans="1:15" ht="14.45">
      <c r="A6" s="54">
        <v>5</v>
      </c>
      <c r="B6" s="54">
        <v>43861</v>
      </c>
      <c r="C6" s="54" t="str">
        <v>Q1</v>
      </c>
      <c r="D6" s="55" t="str">
        <v>Jan</v>
      </c>
      <c r="E6" s="55" t="str">
        <v>FlashPoint Accessories</v>
      </c>
      <c r="F6" s="54">
        <v>4</v>
      </c>
      <c r="G6" s="54">
        <v>198450</v>
      </c>
      <c r="H6" s="56">
        <v>198450</v>
      </c>
      <c r="I6" s="57">
        <v>0</v>
      </c>
      <c r="J6" s="9" t="str">
        <v>PART PAYMENT</v>
      </c>
      <c r="K6" s="58"/>
    </row>
    <row r="7" spans="1:15" ht="14.45">
      <c r="A7" s="54">
        <v>6</v>
      </c>
      <c r="B7" s="54">
        <v>43861</v>
      </c>
      <c r="C7" s="54" t="str">
        <v>Q1</v>
      </c>
      <c r="D7" s="55" t="str">
        <v>Jan</v>
      </c>
      <c r="E7" s="55" t="str">
        <v>NovaStreet Phones</v>
      </c>
      <c r="F7" s="54">
        <v>0</v>
      </c>
      <c r="G7" s="54">
        <v>0</v>
      </c>
      <c r="H7" s="56">
        <v>0</v>
      </c>
      <c r="I7" s="57">
        <v>0</v>
      </c>
      <c r="J7" s="13" t="str">
        <v>NO ORDER</v>
      </c>
      <c r="K7" s="59"/>
    </row>
    <row r="8" spans="1:15" ht="14.45">
      <c r="A8" s="54">
        <v>7</v>
      </c>
      <c r="B8" s="54">
        <v>43861</v>
      </c>
      <c r="C8" s="54" t="str">
        <v>Q1</v>
      </c>
      <c r="D8" s="55" t="str">
        <v>Jan</v>
      </c>
      <c r="E8" s="55" t="str">
        <v>BrightCell Retailers</v>
      </c>
      <c r="F8" s="54">
        <v>0</v>
      </c>
      <c r="G8" s="54">
        <v>0</v>
      </c>
      <c r="H8" s="57">
        <v>0</v>
      </c>
      <c r="I8" s="57">
        <v>0</v>
      </c>
      <c r="J8" s="13" t="str">
        <v>NO ORDER</v>
      </c>
      <c r="K8" s="59"/>
    </row>
    <row r="9" spans="1:15" ht="14.45">
      <c r="A9" s="54">
        <v>8</v>
      </c>
      <c r="B9" s="54">
        <v>43861</v>
      </c>
      <c r="C9" s="54" t="str">
        <v>Q1</v>
      </c>
      <c r="D9" s="55" t="str">
        <v>Jan</v>
      </c>
      <c r="E9" s="55" t="str">
        <v>IronGate Gadgets</v>
      </c>
      <c r="F9" s="54">
        <v>0</v>
      </c>
      <c r="G9" s="54">
        <v>0</v>
      </c>
      <c r="H9" s="57">
        <v>0</v>
      </c>
      <c r="I9" s="57">
        <v>0</v>
      </c>
      <c r="J9" s="13" t="str">
        <v>NO ORDER</v>
      </c>
      <c r="K9" s="60"/>
    </row>
    <row r="10" spans="1:15" ht="14.45">
      <c r="A10" s="54">
        <v>9</v>
      </c>
      <c r="B10" s="54">
        <v>43861</v>
      </c>
      <c r="C10" s="54" t="str">
        <v>Q1</v>
      </c>
      <c r="D10" s="55" t="str">
        <v>Jan</v>
      </c>
      <c r="E10" s="55" t="str">
        <v>PulseHub Electronics</v>
      </c>
      <c r="F10" s="54">
        <v>15</v>
      </c>
      <c r="G10" s="54">
        <v>395200</v>
      </c>
      <c r="H10" s="57">
        <v>395200</v>
      </c>
      <c r="I10" s="61">
        <v>0</v>
      </c>
      <c r="J10" s="12" t="str">
        <v>PAID</v>
      </c>
      <c r="K10" s="62"/>
    </row>
    <row r="11" spans="1:15" ht="14.45">
      <c r="A11" s="54">
        <v>10</v>
      </c>
      <c r="B11" s="54">
        <v>43861</v>
      </c>
      <c r="C11" s="54" t="str">
        <v>Q1</v>
      </c>
      <c r="D11" s="55" t="str">
        <v>Jan</v>
      </c>
      <c r="E11" s="55" t="str">
        <v>Skyline Mobile Mart</v>
      </c>
      <c r="F11" s="54">
        <v>0</v>
      </c>
      <c r="G11" s="54">
        <v>0</v>
      </c>
      <c r="H11" s="57">
        <v>0</v>
      </c>
      <c r="I11" s="57">
        <v>0</v>
      </c>
      <c r="J11" s="13" t="str">
        <v>NO ORDER</v>
      </c>
      <c r="K11" s="59"/>
    </row>
    <row r="12" spans="1:15" ht="14.45">
      <c r="A12" s="54">
        <v>11</v>
      </c>
      <c r="B12" s="54">
        <v>43861</v>
      </c>
      <c r="C12" s="54" t="str">
        <v>Q1</v>
      </c>
      <c r="D12" s="55" t="str">
        <v>Jan</v>
      </c>
      <c r="E12" s="55" t="str">
        <v>Vertex Phone Stores</v>
      </c>
      <c r="F12" s="54">
        <v>6</v>
      </c>
      <c r="G12" s="54">
        <v>275900</v>
      </c>
      <c r="H12" s="57">
        <v>275900</v>
      </c>
      <c r="I12" s="57">
        <v>0</v>
      </c>
      <c r="J12" s="12" t="str">
        <v>PAID</v>
      </c>
      <c r="K12" s="62"/>
    </row>
    <row r="13" spans="1:15" ht="31.9" customHeight="1">
      <c r="A13" s="54">
        <v>1</v>
      </c>
      <c r="B13" s="54">
        <v>43889</v>
      </c>
      <c r="C13" s="54" t="str">
        <v>Q1</v>
      </c>
      <c r="D13" s="55" t="str">
        <v>Feb</v>
      </c>
      <c r="E13" s="55" t="str">
        <v>BluePeak Gadgets Ltd</v>
      </c>
      <c r="F13" s="54">
        <v>224</v>
      </c>
      <c r="G13" s="54">
        <v>9872450.75</v>
      </c>
      <c r="H13" s="63">
        <v>9120300.1999999993</v>
      </c>
      <c r="I13" s="64">
        <v>752150.55000000075</v>
      </c>
      <c r="J13" s="46" t="str">
        <v>PART PAYMENT</v>
      </c>
      <c r="K13" s="58"/>
    </row>
    <row r="14" spans="1:15" ht="18.600000000000001">
      <c r="A14" s="54">
        <v>2</v>
      </c>
      <c r="B14" s="54">
        <v>43889</v>
      </c>
      <c r="C14" s="54" t="str">
        <v>Q1</v>
      </c>
      <c r="D14" s="55" t="str">
        <v>Feb</v>
      </c>
      <c r="E14" s="55" t="str">
        <v>SignalPro Devices</v>
      </c>
      <c r="F14" s="54">
        <v>2</v>
      </c>
      <c r="G14" s="54">
        <v>7450120.5</v>
      </c>
      <c r="H14" s="63">
        <v>7450120.5</v>
      </c>
      <c r="I14" s="64">
        <v>0</v>
      </c>
      <c r="J14" s="19" t="str">
        <v>PAID</v>
      </c>
      <c r="K14" s="59"/>
    </row>
    <row r="15" spans="1:15" ht="14.45">
      <c r="A15" s="54">
        <v>3</v>
      </c>
      <c r="B15" s="54">
        <v>43889</v>
      </c>
      <c r="C15" s="54" t="str">
        <v>Q1</v>
      </c>
      <c r="D15" s="55" t="str">
        <v>Feb</v>
      </c>
      <c r="E15" s="55" t="str">
        <v>UrbanWave Mobiles</v>
      </c>
      <c r="F15" s="54">
        <v>5</v>
      </c>
      <c r="G15" s="54">
        <v>82450.3</v>
      </c>
      <c r="H15" s="63">
        <v>82450.3</v>
      </c>
      <c r="I15" s="64">
        <v>0</v>
      </c>
      <c r="J15" t="str">
        <v>PAID</v>
      </c>
      <c r="K15" s="58"/>
    </row>
    <row r="16" spans="1:15" ht="14.45">
      <c r="A16" s="54">
        <v>4</v>
      </c>
      <c r="B16" s="54">
        <v>43889</v>
      </c>
      <c r="C16" s="54" t="str">
        <v>Q1</v>
      </c>
      <c r="D16" s="55" t="str">
        <v>Feb</v>
      </c>
      <c r="E16" s="55" t="str">
        <v>CoreLink Technologies</v>
      </c>
      <c r="F16" s="54">
        <v>18</v>
      </c>
      <c r="G16" s="54">
        <v>310550.09999999998</v>
      </c>
      <c r="H16" s="63">
        <v>308900.75</v>
      </c>
      <c r="I16" s="64">
        <v>1649.3499999999767</v>
      </c>
      <c r="J16" t="str">
        <v>PART PAYMENT</v>
      </c>
      <c r="K16" s="58"/>
    </row>
    <row r="17" spans="1:11" ht="14.45">
      <c r="A17" s="54">
        <v>5</v>
      </c>
      <c r="B17" s="54">
        <v>43889</v>
      </c>
      <c r="C17" s="54" t="str">
        <v>Q1</v>
      </c>
      <c r="D17" s="55" t="str">
        <v>Feb</v>
      </c>
      <c r="E17" s="55" t="str">
        <v>FlashPoint Accessories</v>
      </c>
      <c r="F17" s="54">
        <v>2</v>
      </c>
      <c r="G17" s="54">
        <v>105200.5</v>
      </c>
      <c r="H17" s="63">
        <v>0</v>
      </c>
      <c r="I17" s="64">
        <v>105200.5</v>
      </c>
      <c r="J17" t="str">
        <v>NOT PAID</v>
      </c>
      <c r="K17" s="58"/>
    </row>
    <row r="18" spans="1:11" ht="14.65" customHeight="1">
      <c r="A18" s="54">
        <v>6</v>
      </c>
      <c r="B18" s="54">
        <v>43889</v>
      </c>
      <c r="C18" s="54" t="str">
        <v>Q1</v>
      </c>
      <c r="D18" s="55" t="str">
        <v>Feb</v>
      </c>
      <c r="E18" s="55" t="str">
        <v>NovaStreet Phones</v>
      </c>
      <c r="F18" s="54">
        <v>16</v>
      </c>
      <c r="G18" s="54">
        <v>410780.25</v>
      </c>
      <c r="H18" s="63">
        <v>410780.25</v>
      </c>
      <c r="I18" s="64">
        <v>0</v>
      </c>
      <c r="J18" t="str">
        <v>PAID</v>
      </c>
      <c r="K18" s="59"/>
    </row>
    <row r="19" spans="1:11" ht="14.45">
      <c r="A19" s="54">
        <v>7</v>
      </c>
      <c r="B19" s="54">
        <v>43889</v>
      </c>
      <c r="C19" s="54" t="str">
        <v>Q1</v>
      </c>
      <c r="D19" s="55" t="str">
        <v>Feb</v>
      </c>
      <c r="E19" s="55" t="str">
        <v>BrightCell Retailers</v>
      </c>
      <c r="F19" s="54">
        <v>2</v>
      </c>
      <c r="G19" s="54">
        <v>75320.399999999994</v>
      </c>
      <c r="H19" s="64">
        <v>75320.399999999994</v>
      </c>
      <c r="I19" s="64">
        <v>0</v>
      </c>
      <c r="J19" t="str">
        <v>PAID</v>
      </c>
      <c r="K19" s="59"/>
    </row>
    <row r="20" spans="1:11" ht="14.45">
      <c r="A20" s="54">
        <v>8</v>
      </c>
      <c r="B20" s="54">
        <v>43889</v>
      </c>
      <c r="C20" s="54" t="str">
        <v>Q1</v>
      </c>
      <c r="D20" s="55" t="str">
        <v>Feb</v>
      </c>
      <c r="E20" s="55" t="str">
        <v>IronGate Gadgets</v>
      </c>
      <c r="F20" s="54">
        <v>143</v>
      </c>
      <c r="G20" s="54">
        <v>2050100.75</v>
      </c>
      <c r="H20" s="64">
        <v>2050100.75</v>
      </c>
      <c r="I20" s="64">
        <v>0</v>
      </c>
      <c r="J20" t="str">
        <v>PAID</v>
      </c>
      <c r="K20" s="59"/>
    </row>
    <row r="21" spans="1:11" ht="14.45">
      <c r="A21" s="54">
        <v>9</v>
      </c>
      <c r="B21" s="54">
        <v>43889</v>
      </c>
      <c r="C21" s="54" t="str">
        <v>Q1</v>
      </c>
      <c r="D21" s="55" t="str">
        <v>Feb</v>
      </c>
      <c r="E21" s="55" t="str">
        <v>PulseHub Electronics</v>
      </c>
      <c r="F21" s="54">
        <v>8</v>
      </c>
      <c r="G21" s="54">
        <v>295400.59999999998</v>
      </c>
      <c r="H21" s="64">
        <v>295400.59999999998</v>
      </c>
      <c r="I21" s="65">
        <v>0</v>
      </c>
      <c r="J21" t="str">
        <v>PAID</v>
      </c>
      <c r="K21" s="62"/>
    </row>
    <row r="22" spans="1:11" ht="14.45">
      <c r="A22" s="54">
        <v>10</v>
      </c>
      <c r="B22" s="54">
        <v>43889</v>
      </c>
      <c r="C22" s="54" t="str">
        <v>Q1</v>
      </c>
      <c r="D22" s="55" t="str">
        <v>Feb</v>
      </c>
      <c r="E22" s="55" t="str">
        <v>Skyline Mobile Mart</v>
      </c>
      <c r="F22" s="54">
        <v>0</v>
      </c>
      <c r="G22" s="54">
        <v>0</v>
      </c>
      <c r="H22" s="64">
        <v>0</v>
      </c>
      <c r="I22" s="64">
        <v>0</v>
      </c>
      <c r="J22">
        <v>0</v>
      </c>
      <c r="K22" s="59"/>
    </row>
    <row r="23" spans="1:11" ht="14.45">
      <c r="A23" s="54">
        <v>11</v>
      </c>
      <c r="B23" s="54">
        <v>43889</v>
      </c>
      <c r="C23" s="54" t="str">
        <v>Q1</v>
      </c>
      <c r="D23" s="55" t="str">
        <v>Feb</v>
      </c>
      <c r="E23" s="55" t="str">
        <v>Vertex Phone Stores</v>
      </c>
      <c r="F23" s="54">
        <v>3</v>
      </c>
      <c r="G23" s="54">
        <v>18750.900000000001</v>
      </c>
      <c r="H23" s="64">
        <v>18750.900000000001</v>
      </c>
      <c r="I23" s="64">
        <v>0</v>
      </c>
      <c r="J23" t="str">
        <v>PAID</v>
      </c>
      <c r="K23" s="62"/>
    </row>
    <row r="24" spans="1:11" ht="14.45">
      <c r="A24" s="54">
        <v>1</v>
      </c>
      <c r="B24" s="54">
        <v>43921</v>
      </c>
      <c r="C24" s="54" t="str">
        <v>Q1</v>
      </c>
      <c r="D24" s="55" t="str">
        <v>Mar</v>
      </c>
      <c r="E24" s="55" t="str">
        <v>BluePeak Gadgets Ltd</v>
      </c>
      <c r="F24" s="54">
        <v>12</v>
      </c>
      <c r="G24" s="66">
        <v>1120450.75</v>
      </c>
      <c r="H24" s="56">
        <v>1110320.6000000001</v>
      </c>
      <c r="I24" s="57">
        <v>10130.149999999907</v>
      </c>
      <c r="J24" t="str">
        <v>PAID</v>
      </c>
      <c r="K24" s="67"/>
    </row>
    <row r="25" spans="1:11" ht="14.45">
      <c r="A25" s="54">
        <v>2</v>
      </c>
      <c r="B25" s="54">
        <v>43921</v>
      </c>
      <c r="C25" s="54" t="str">
        <v>Q1</v>
      </c>
      <c r="D25" s="55" t="str">
        <v>Mar</v>
      </c>
      <c r="E25" s="55" t="str">
        <v>SignalPro Devices</v>
      </c>
      <c r="F25" s="54">
        <v>3</v>
      </c>
      <c r="G25" s="66">
        <v>4520780.4000000004</v>
      </c>
      <c r="H25" s="56">
        <v>4520780.4000000004</v>
      </c>
      <c r="I25" s="57">
        <v>0</v>
      </c>
      <c r="J25" t="str">
        <v>PAID</v>
      </c>
      <c r="K25" s="67"/>
    </row>
    <row r="26" spans="1:11" ht="14.45">
      <c r="A26" s="54">
        <v>3</v>
      </c>
      <c r="B26" s="54">
        <v>43921</v>
      </c>
      <c r="C26" s="54" t="str">
        <v>Q1</v>
      </c>
      <c r="D26" s="55" t="str">
        <v>Mar</v>
      </c>
      <c r="E26" s="55" t="str">
        <v>UrbanWave Mobiles</v>
      </c>
      <c r="F26" s="54">
        <v>7</v>
      </c>
      <c r="G26" s="66">
        <v>55320.9</v>
      </c>
      <c r="H26" s="56">
        <v>55320.9</v>
      </c>
      <c r="I26" s="57">
        <v>0</v>
      </c>
      <c r="J26" t="str">
        <v>PAID</v>
      </c>
      <c r="K26" s="67"/>
    </row>
    <row r="27" spans="1:11" ht="14.45">
      <c r="A27" s="54">
        <v>4</v>
      </c>
      <c r="B27" s="54">
        <v>43921</v>
      </c>
      <c r="C27" s="54" t="str">
        <v>Q1</v>
      </c>
      <c r="D27" s="55" t="str">
        <v>Mar</v>
      </c>
      <c r="E27" s="55" t="str">
        <v>CoreLink Technologies</v>
      </c>
      <c r="F27" s="54">
        <v>20</v>
      </c>
      <c r="G27" s="66">
        <v>290450.25</v>
      </c>
      <c r="H27" s="56">
        <v>285900.09999999998</v>
      </c>
      <c r="I27" s="57">
        <v>4550.1500000000233</v>
      </c>
      <c r="J27" t="str">
        <v>PART PAYMENT</v>
      </c>
      <c r="K27" s="67"/>
    </row>
    <row r="28" spans="1:11" ht="14.45">
      <c r="A28" s="54">
        <v>5</v>
      </c>
      <c r="B28" s="54">
        <v>43921</v>
      </c>
      <c r="C28" s="54" t="str">
        <v>Q1</v>
      </c>
      <c r="D28" s="55" t="str">
        <v>Mar</v>
      </c>
      <c r="E28" s="55" t="str">
        <v>FlashPoint Accessories</v>
      </c>
      <c r="F28" s="54">
        <v>2</v>
      </c>
      <c r="G28" s="66">
        <v>48750.1</v>
      </c>
      <c r="H28" s="56">
        <v>48920</v>
      </c>
      <c r="I28" s="57">
        <v>-169.90000000000146</v>
      </c>
      <c r="J28" t="str">
        <v>NOT PAID</v>
      </c>
      <c r="K28" s="67"/>
    </row>
    <row r="29" spans="1:11" ht="14.45">
      <c r="A29" s="54">
        <v>6</v>
      </c>
      <c r="B29" s="54">
        <v>43921</v>
      </c>
      <c r="C29" s="54" t="str">
        <v>Q1</v>
      </c>
      <c r="D29" s="55" t="str">
        <v>Mar</v>
      </c>
      <c r="E29" s="55" t="str">
        <v>NovaStreet Phones</v>
      </c>
      <c r="F29" s="54">
        <v>40</v>
      </c>
      <c r="G29" s="66">
        <v>1500250.8</v>
      </c>
      <c r="H29" s="56">
        <v>1500480.25</v>
      </c>
      <c r="I29" s="57">
        <v>-229.44999999995343</v>
      </c>
      <c r="J29" t="str">
        <v>PAID</v>
      </c>
      <c r="K29" s="67"/>
    </row>
    <row r="30" spans="1:11" ht="14.45">
      <c r="A30" s="54">
        <v>7</v>
      </c>
      <c r="B30" s="54">
        <v>43921</v>
      </c>
      <c r="C30" s="54" t="str">
        <v>Q1</v>
      </c>
      <c r="D30" s="55" t="str">
        <v>Mar</v>
      </c>
      <c r="E30" s="55" t="str">
        <v>BrightCell Retailers</v>
      </c>
      <c r="F30" s="54">
        <v>0</v>
      </c>
      <c r="G30" s="66">
        <v>0</v>
      </c>
      <c r="H30" s="56">
        <v>0</v>
      </c>
      <c r="I30" s="57">
        <v>0</v>
      </c>
      <c r="J30" t="str">
        <v>NO ORDER</v>
      </c>
      <c r="K30" s="67"/>
    </row>
    <row r="31" spans="1:11" ht="14.45">
      <c r="A31" s="54">
        <v>8</v>
      </c>
      <c r="B31" s="54">
        <v>43921</v>
      </c>
      <c r="C31" s="54" t="str">
        <v>Q1</v>
      </c>
      <c r="D31" s="55" t="str">
        <v>Mar</v>
      </c>
      <c r="E31" s="55" t="str">
        <v>IronGate Gadgets</v>
      </c>
      <c r="F31" s="54">
        <v>90</v>
      </c>
      <c r="G31" s="66">
        <v>2410320.9</v>
      </c>
      <c r="H31" s="56">
        <v>2410320.9</v>
      </c>
      <c r="I31" s="57">
        <v>0</v>
      </c>
      <c r="J31" t="str">
        <v>NOT PAID</v>
      </c>
      <c r="K31" s="67"/>
    </row>
    <row r="32" spans="1:11" ht="14.45">
      <c r="A32" s="54">
        <v>9</v>
      </c>
      <c r="B32" s="54">
        <v>43921</v>
      </c>
      <c r="C32" s="54" t="str">
        <v>Q1</v>
      </c>
      <c r="D32" s="55" t="str">
        <v>Mar</v>
      </c>
      <c r="E32" s="55" t="str">
        <v>PulseHub Electronics</v>
      </c>
      <c r="F32" s="54">
        <v>5</v>
      </c>
      <c r="G32" s="66">
        <v>375480.6</v>
      </c>
      <c r="H32" s="56">
        <v>367120.3</v>
      </c>
      <c r="I32" s="57">
        <v>8360.2999999999884</v>
      </c>
      <c r="J32" t="str">
        <v>PART PAYMENT</v>
      </c>
      <c r="K32" s="67"/>
    </row>
    <row r="33" spans="1:11" ht="14.45">
      <c r="A33" s="54">
        <v>10</v>
      </c>
      <c r="B33" s="54">
        <v>43921</v>
      </c>
      <c r="C33" s="54" t="str">
        <v>Q1</v>
      </c>
      <c r="D33" s="55" t="str">
        <v>Mar</v>
      </c>
      <c r="E33" s="55" t="str">
        <v>Skyline Mobile Mart</v>
      </c>
      <c r="F33" s="54">
        <v>0</v>
      </c>
      <c r="G33" s="66">
        <v>0</v>
      </c>
      <c r="H33" s="56">
        <v>0</v>
      </c>
      <c r="I33" s="57">
        <v>0</v>
      </c>
      <c r="J33" t="str">
        <v>NO ORDER</v>
      </c>
      <c r="K33" s="67"/>
    </row>
    <row r="34" spans="1:11" ht="14.45">
      <c r="A34" s="54">
        <v>11</v>
      </c>
      <c r="B34" s="54">
        <v>43921</v>
      </c>
      <c r="C34" s="54" t="str">
        <v>Q1</v>
      </c>
      <c r="D34" s="55" t="str">
        <v>Mar</v>
      </c>
      <c r="E34" s="55" t="str">
        <v>Vertex Phone Stores</v>
      </c>
      <c r="F34" s="54">
        <v>1</v>
      </c>
      <c r="G34" s="66">
        <v>75240.5</v>
      </c>
      <c r="H34" s="56">
        <v>75240.5</v>
      </c>
      <c r="I34" s="57">
        <v>0</v>
      </c>
      <c r="J34" t="str">
        <v>PAID</v>
      </c>
      <c r="K34" s="67"/>
    </row>
    <row r="35" spans="1:11" ht="21.6" customHeight="1">
      <c r="A35" s="54">
        <v>1</v>
      </c>
      <c r="B35" s="54">
        <v>43951</v>
      </c>
      <c r="C35" s="54" t="str">
        <v>Q2</v>
      </c>
      <c r="D35" s="55" t="str">
        <v>Apr</v>
      </c>
      <c r="E35" s="55" t="str">
        <v>BluePeak Gadgets Ltd</v>
      </c>
      <c r="F35" s="54">
        <v>14</v>
      </c>
      <c r="G35" s="66">
        <v>1220450.75</v>
      </c>
      <c r="H35" s="56">
        <v>1210300.6000000001</v>
      </c>
      <c r="I35" s="57">
        <v>10150.149999999907</v>
      </c>
      <c r="J35" t="str">
        <v>PAID</v>
      </c>
      <c r="K35" s="67"/>
    </row>
    <row r="36" spans="1:11" ht="14.45">
      <c r="A36" s="54">
        <v>2</v>
      </c>
      <c r="B36" s="54">
        <v>43951</v>
      </c>
      <c r="C36" s="54" t="str">
        <v>Q2</v>
      </c>
      <c r="D36" s="55" t="str">
        <v>Apr</v>
      </c>
      <c r="E36" s="55" t="str">
        <v>SignalPro Devices</v>
      </c>
      <c r="F36" s="54">
        <v>7</v>
      </c>
      <c r="G36" s="66">
        <v>4520780.4000000004</v>
      </c>
      <c r="H36" s="63">
        <v>4520780.4000000004</v>
      </c>
      <c r="I36" s="64">
        <v>0</v>
      </c>
      <c r="J36" t="str">
        <v>PAID</v>
      </c>
      <c r="K36" s="67"/>
    </row>
    <row r="37" spans="1:11" ht="14.45">
      <c r="A37" s="54">
        <v>0</v>
      </c>
      <c r="B37" s="54">
        <v>43951</v>
      </c>
      <c r="C37" s="54" t="str">
        <v>Q2</v>
      </c>
      <c r="D37" s="55" t="str">
        <v>Apr</v>
      </c>
      <c r="E37" s="55" t="str">
        <v>UrbanWave Mobiles</v>
      </c>
      <c r="F37" s="54">
        <v>3</v>
      </c>
      <c r="G37" s="66">
        <v>65320.9</v>
      </c>
      <c r="H37" s="63">
        <v>65320.9</v>
      </c>
      <c r="I37" s="64">
        <v>0</v>
      </c>
      <c r="J37" t="str">
        <v>PAID</v>
      </c>
      <c r="K37" s="67"/>
    </row>
    <row r="38" spans="1:11" ht="14.45">
      <c r="A38" s="54">
        <v>3</v>
      </c>
      <c r="B38" s="54">
        <v>43951</v>
      </c>
      <c r="C38" s="54" t="str">
        <v>Q2</v>
      </c>
      <c r="D38" s="55" t="str">
        <v>Apr</v>
      </c>
      <c r="E38" s="55" t="str">
        <v>CoreLink Technologies</v>
      </c>
      <c r="F38" s="54">
        <v>28</v>
      </c>
      <c r="G38" s="66">
        <v>320450.25</v>
      </c>
      <c r="H38" s="64">
        <v>315900.09999999998</v>
      </c>
      <c r="I38" s="64">
        <v>4550.1500000000233</v>
      </c>
      <c r="J38" t="str">
        <v>PART PAYMENT</v>
      </c>
      <c r="K38" s="67"/>
    </row>
    <row r="39" spans="1:11" ht="14.45">
      <c r="A39" s="54">
        <v>4</v>
      </c>
      <c r="B39" s="54">
        <v>43951</v>
      </c>
      <c r="C39" s="54" t="str">
        <v>Q2</v>
      </c>
      <c r="D39" s="55" t="str">
        <v>Apr</v>
      </c>
      <c r="E39" s="55" t="str">
        <v>FlashPoint Accessories</v>
      </c>
      <c r="F39" s="54">
        <v>9</v>
      </c>
      <c r="G39" s="66">
        <v>52750.1</v>
      </c>
      <c r="H39" s="63">
        <v>52920</v>
      </c>
      <c r="I39" s="64">
        <v>-169.90000000000146</v>
      </c>
      <c r="J39" t="str">
        <v>NOT PAID</v>
      </c>
      <c r="K39" s="67"/>
    </row>
    <row r="40" spans="1:11" ht="20.45" customHeight="1">
      <c r="A40" s="54">
        <v>5</v>
      </c>
      <c r="B40" s="54">
        <v>43951</v>
      </c>
      <c r="C40" s="54" t="str">
        <v>Q2</v>
      </c>
      <c r="D40" s="55" t="str">
        <v>Apr</v>
      </c>
      <c r="E40" s="55" t="str">
        <v>NovaStreet Phones</v>
      </c>
      <c r="F40" s="54">
        <v>37</v>
      </c>
      <c r="G40" s="66">
        <v>1480250.8</v>
      </c>
      <c r="H40" s="63">
        <v>1480480.25</v>
      </c>
      <c r="I40" s="64">
        <v>-229.44999999995343</v>
      </c>
      <c r="J40" t="str">
        <v>NOT PAID</v>
      </c>
      <c r="K40" s="67"/>
    </row>
    <row r="41" spans="1:11" ht="14.45">
      <c r="A41" s="54">
        <v>6</v>
      </c>
      <c r="B41" s="54">
        <v>43951</v>
      </c>
      <c r="C41" s="54" t="str">
        <v>Q2</v>
      </c>
      <c r="D41" s="55" t="str">
        <v>Apr</v>
      </c>
      <c r="E41" s="55" t="str">
        <v>BrightCell Retailers</v>
      </c>
      <c r="F41" s="54">
        <v>0</v>
      </c>
      <c r="G41" s="66">
        <v>0</v>
      </c>
      <c r="H41" s="63">
        <v>0</v>
      </c>
      <c r="I41" s="64">
        <v>0</v>
      </c>
      <c r="J41" t="str">
        <v>NOT PAID</v>
      </c>
      <c r="K41" s="67"/>
    </row>
    <row r="42" spans="1:11" ht="14.45">
      <c r="A42" s="54">
        <v>7</v>
      </c>
      <c r="B42" s="54">
        <v>43951</v>
      </c>
      <c r="C42" s="54" t="str">
        <v>Q2</v>
      </c>
      <c r="D42" s="55" t="str">
        <v>Apr</v>
      </c>
      <c r="E42" s="55" t="str">
        <v>IronGate Gadgets</v>
      </c>
      <c r="F42" s="54">
        <v>88</v>
      </c>
      <c r="G42" s="66">
        <v>2410320.9</v>
      </c>
      <c r="H42" s="63">
        <v>2410320.9</v>
      </c>
      <c r="I42" s="64">
        <v>0</v>
      </c>
      <c r="J42" t="str">
        <v>NOT PAID</v>
      </c>
      <c r="K42" s="67"/>
    </row>
    <row r="43" spans="1:11" ht="14.45">
      <c r="A43" s="54">
        <v>8</v>
      </c>
      <c r="B43" s="54">
        <v>43951</v>
      </c>
      <c r="C43" s="54" t="str">
        <v>Q2</v>
      </c>
      <c r="D43" s="55" t="str">
        <v>Apr</v>
      </c>
      <c r="E43" s="55" t="str">
        <v>PulseHub Electronics</v>
      </c>
      <c r="F43" s="54">
        <v>5</v>
      </c>
      <c r="G43" s="66">
        <v>390480.6</v>
      </c>
      <c r="H43" s="64">
        <v>382120.3</v>
      </c>
      <c r="I43" s="64">
        <v>8360.2999999999884</v>
      </c>
      <c r="J43" t="str">
        <v>PAID</v>
      </c>
      <c r="K43" s="67"/>
    </row>
    <row r="44" spans="1:11" ht="14.45">
      <c r="A44" s="54">
        <v>9</v>
      </c>
      <c r="B44" s="54">
        <v>43951</v>
      </c>
      <c r="C44" s="54" t="str">
        <v>Q2</v>
      </c>
      <c r="D44" s="55" t="str">
        <v>Apr</v>
      </c>
      <c r="E44" s="55" t="str">
        <v>Skyline Mobile Mart</v>
      </c>
      <c r="F44" s="54">
        <v>0</v>
      </c>
      <c r="G44" s="66">
        <v>0</v>
      </c>
      <c r="H44" s="64">
        <v>0</v>
      </c>
      <c r="I44" s="64">
        <v>0</v>
      </c>
      <c r="J44" t="str">
        <v>NOT PAID</v>
      </c>
      <c r="K44" s="67"/>
    </row>
    <row r="45" spans="1:11" ht="14.45">
      <c r="A45" s="54">
        <v>10</v>
      </c>
      <c r="B45" s="54">
        <v>43951</v>
      </c>
      <c r="C45" s="54" t="str">
        <v>Q2</v>
      </c>
      <c r="D45" s="55" t="str">
        <v>Apr</v>
      </c>
      <c r="E45" s="55" t="str">
        <v>Vertex Phone Stores</v>
      </c>
      <c r="F45" s="54">
        <v>2</v>
      </c>
      <c r="G45" s="66">
        <v>85240.5</v>
      </c>
      <c r="H45" s="64">
        <v>85240.5</v>
      </c>
      <c r="I45" s="65">
        <v>0</v>
      </c>
      <c r="J45" t="str">
        <v>PAID</v>
      </c>
      <c r="K45" s="67"/>
    </row>
    <row r="46" spans="1:11" ht="14.45">
      <c r="A46" s="54">
        <v>1</v>
      </c>
      <c r="B46" s="54">
        <v>43982</v>
      </c>
      <c r="C46" s="54" t="str">
        <v>Q2</v>
      </c>
      <c r="D46" s="55" t="str">
        <v>May</v>
      </c>
      <c r="E46" s="55" t="str">
        <v>luePeak Gadgets Ltd</v>
      </c>
      <c r="F46" s="54">
        <v>12</v>
      </c>
      <c r="G46" s="66">
        <v>310450.75</v>
      </c>
      <c r="H46" s="64">
        <v>295320.59999999998</v>
      </c>
      <c r="I46" s="64">
        <v>15130.150000000023</v>
      </c>
      <c r="J46" t="str">
        <v>PART PAYMENT</v>
      </c>
      <c r="K46" s="67"/>
    </row>
    <row r="47" spans="1:11" ht="14.45">
      <c r="A47" s="54">
        <v>2</v>
      </c>
      <c r="B47" s="54">
        <v>43982</v>
      </c>
      <c r="C47" s="54" t="str">
        <v>Q2</v>
      </c>
      <c r="D47" s="55" t="str">
        <v>May</v>
      </c>
      <c r="E47" s="55" t="str">
        <v>SignalPro Devices</v>
      </c>
      <c r="F47" s="54">
        <v>4</v>
      </c>
      <c r="G47" s="66">
        <v>5450780.4000000004</v>
      </c>
      <c r="H47" s="64">
        <v>5450780.4000000004</v>
      </c>
      <c r="I47" s="64">
        <v>0</v>
      </c>
      <c r="J47" t="str">
        <v>PAID</v>
      </c>
      <c r="K47" s="67"/>
    </row>
    <row r="48" spans="1:11" ht="14.45">
      <c r="A48" s="54">
        <v>3</v>
      </c>
      <c r="B48" s="54">
        <v>43982</v>
      </c>
      <c r="C48" s="54" t="str">
        <v>Q2</v>
      </c>
      <c r="D48" s="55" t="str">
        <v>May</v>
      </c>
      <c r="E48" s="55" t="str">
        <v>UrbanWave Mobiles</v>
      </c>
      <c r="F48" s="54">
        <v>3</v>
      </c>
      <c r="G48" s="66">
        <v>4850.25</v>
      </c>
      <c r="H48" s="63">
        <v>4850.25</v>
      </c>
      <c r="I48" s="64">
        <v>0</v>
      </c>
      <c r="J48" t="str">
        <v>PAID</v>
      </c>
      <c r="K48" s="67"/>
    </row>
    <row r="49" spans="1:11" ht="14.45">
      <c r="A49" s="54">
        <v>4</v>
      </c>
      <c r="B49" s="54">
        <v>43982</v>
      </c>
      <c r="C49" s="54" t="str">
        <v>Q2</v>
      </c>
      <c r="D49" s="55" t="str">
        <v>May</v>
      </c>
      <c r="E49" s="55" t="str">
        <v>CoreLink Technologies</v>
      </c>
      <c r="F49" s="54">
        <v>28</v>
      </c>
      <c r="G49" s="66">
        <v>440320.9</v>
      </c>
      <c r="H49" s="63">
        <v>0</v>
      </c>
      <c r="I49" s="64">
        <v>440320.9</v>
      </c>
      <c r="J49" t="str">
        <v>NOT PAID</v>
      </c>
      <c r="K49" s="67"/>
    </row>
    <row r="50" spans="1:11" ht="14.45">
      <c r="A50" s="54">
        <v>5</v>
      </c>
      <c r="B50" s="54">
        <v>43982</v>
      </c>
      <c r="C50" s="54" t="str">
        <v>Q2</v>
      </c>
      <c r="D50" s="55" t="str">
        <v>May</v>
      </c>
      <c r="E50" s="55" t="str">
        <v>FlashPoint Accessories</v>
      </c>
      <c r="F50" s="54">
        <v>6</v>
      </c>
      <c r="G50" s="66">
        <v>215750.1</v>
      </c>
      <c r="H50" s="63">
        <v>0</v>
      </c>
      <c r="I50" s="64">
        <v>215750.1</v>
      </c>
      <c r="J50" t="str">
        <v>NOT PAID</v>
      </c>
      <c r="K50" s="67"/>
    </row>
    <row r="51" spans="1:11" ht="14.45">
      <c r="A51" s="54">
        <v>6</v>
      </c>
      <c r="B51" s="54">
        <v>43982</v>
      </c>
      <c r="C51" s="54" t="str">
        <v>Q2</v>
      </c>
      <c r="D51" s="55" t="str">
        <v>May</v>
      </c>
      <c r="E51" s="55" t="str">
        <v>NovaStreet Phones</v>
      </c>
      <c r="F51" s="54">
        <v>80</v>
      </c>
      <c r="G51" s="66">
        <v>1980450.8</v>
      </c>
      <c r="H51" s="63">
        <v>1910480.25</v>
      </c>
      <c r="I51" s="64">
        <v>69970.550000000047</v>
      </c>
      <c r="J51" t="str">
        <v>PART PAYMENT</v>
      </c>
      <c r="K51" s="67"/>
    </row>
    <row r="52" spans="1:11" ht="14.45">
      <c r="A52" s="54">
        <v>7</v>
      </c>
      <c r="B52" s="54">
        <v>43982</v>
      </c>
      <c r="C52" s="54" t="str">
        <v>Q2</v>
      </c>
      <c r="D52" s="55" t="str">
        <v>May</v>
      </c>
      <c r="E52" s="55" t="str">
        <v>BrightCell Retailers</v>
      </c>
      <c r="F52" s="54">
        <v>2</v>
      </c>
      <c r="G52" s="66">
        <v>52480.6</v>
      </c>
      <c r="H52" s="63">
        <v>52480.6</v>
      </c>
      <c r="I52" s="64">
        <v>0</v>
      </c>
      <c r="J52" t="str">
        <v>PAID</v>
      </c>
      <c r="K52" s="67"/>
    </row>
    <row r="53" spans="1:11" ht="14.45">
      <c r="A53" s="54">
        <v>8</v>
      </c>
      <c r="B53" s="54">
        <v>43982</v>
      </c>
      <c r="C53" s="54" t="str">
        <v>Q2</v>
      </c>
      <c r="D53" s="55" t="str">
        <v>May</v>
      </c>
      <c r="E53" s="55" t="str">
        <v>IronGate Gadgets</v>
      </c>
      <c r="F53" s="54">
        <v>140</v>
      </c>
      <c r="G53" s="66">
        <v>2520320.9</v>
      </c>
      <c r="H53" s="63">
        <v>2520320.9</v>
      </c>
      <c r="I53" s="64">
        <v>0</v>
      </c>
      <c r="J53" t="str">
        <v>PAID</v>
      </c>
      <c r="K53" s="67"/>
    </row>
    <row r="54" spans="1:11" ht="14.45">
      <c r="A54" s="54">
        <v>9</v>
      </c>
      <c r="B54" s="54">
        <v>43982</v>
      </c>
      <c r="C54" s="54" t="str">
        <v>Q2</v>
      </c>
      <c r="D54" s="55" t="str">
        <v>May</v>
      </c>
      <c r="E54" s="55" t="str">
        <v>PulseHub Electronics</v>
      </c>
      <c r="F54" s="54">
        <v>11</v>
      </c>
      <c r="G54" s="66">
        <v>540480.6</v>
      </c>
      <c r="H54" s="64">
        <v>535120.30000000005</v>
      </c>
      <c r="I54" s="64">
        <v>5360.2999999999302</v>
      </c>
      <c r="J54" t="str">
        <v>PART PAYMENT</v>
      </c>
      <c r="K54" s="67"/>
    </row>
    <row r="55" spans="1:11" ht="14.45">
      <c r="A55" s="54">
        <v>10</v>
      </c>
      <c r="B55" s="54">
        <v>43982</v>
      </c>
      <c r="C55" s="54" t="str">
        <v>Q2</v>
      </c>
      <c r="D55" s="55" t="str">
        <v>May</v>
      </c>
      <c r="E55" s="55" t="str">
        <v>Skyline Mobile Mart</v>
      </c>
      <c r="F55" s="54">
        <v>0</v>
      </c>
      <c r="G55" s="66">
        <v>0</v>
      </c>
      <c r="H55" s="64">
        <v>0</v>
      </c>
      <c r="I55" s="64">
        <v>0</v>
      </c>
      <c r="J55" t="str">
        <v>NOT PAID</v>
      </c>
      <c r="K55" s="67"/>
    </row>
    <row r="56" spans="1:11" ht="14.45">
      <c r="A56" s="54">
        <v>11</v>
      </c>
      <c r="B56" s="54">
        <v>43982</v>
      </c>
      <c r="C56" s="54" t="str">
        <v>Q2</v>
      </c>
      <c r="D56" s="55" t="str">
        <v>May</v>
      </c>
      <c r="E56" s="55" t="str">
        <v>Vertex Phone Stores</v>
      </c>
      <c r="F56" s="54">
        <v>35</v>
      </c>
      <c r="G56" s="66">
        <v>2510240.5</v>
      </c>
      <c r="H56" s="64">
        <v>2510240.5</v>
      </c>
      <c r="I56" s="64">
        <v>0</v>
      </c>
      <c r="J56" t="str">
        <v>PAID</v>
      </c>
      <c r="K56" s="67"/>
    </row>
    <row r="57" spans="1:11" ht="14.45">
      <c r="A57" s="54">
        <v>1</v>
      </c>
      <c r="B57" s="54">
        <v>44012</v>
      </c>
      <c r="C57" s="54" t="str">
        <v>Q2</v>
      </c>
      <c r="D57" s="55" t="str">
        <v>Jun</v>
      </c>
      <c r="E57" s="55" t="str">
        <v>BluePeak Gadgets Ltd</v>
      </c>
      <c r="F57" s="54">
        <v>5</v>
      </c>
      <c r="G57" s="66">
        <v>92450.75</v>
      </c>
      <c r="H57" s="64">
        <v>88320.6</v>
      </c>
      <c r="I57" s="65">
        <v>4130.1499999999942</v>
      </c>
      <c r="J57">
        <v>0</v>
      </c>
      <c r="K57" s="67"/>
    </row>
    <row r="58" spans="1:11" ht="14.45">
      <c r="A58" s="54">
        <v>2</v>
      </c>
      <c r="B58" s="54">
        <v>44012</v>
      </c>
      <c r="C58" s="54" t="str">
        <v>Q2</v>
      </c>
      <c r="D58" s="55" t="str">
        <v>Jun</v>
      </c>
      <c r="E58" s="55" t="str">
        <v>SignalPro Devices</v>
      </c>
      <c r="F58" s="54">
        <v>8</v>
      </c>
      <c r="G58" s="66">
        <v>9120780.4000000004</v>
      </c>
      <c r="H58" s="64">
        <v>9120780.4000000004</v>
      </c>
      <c r="I58" s="64">
        <v>0</v>
      </c>
      <c r="J58" t="str">
        <v>PAID</v>
      </c>
      <c r="K58" s="67"/>
    </row>
    <row r="59" spans="1:11" ht="14.45">
      <c r="A59" s="54">
        <v>3</v>
      </c>
      <c r="B59" s="54">
        <v>44012</v>
      </c>
      <c r="C59" s="54" t="str">
        <v>Q2</v>
      </c>
      <c r="D59" s="55" t="str">
        <v>Jun</v>
      </c>
      <c r="E59" s="55" t="str">
        <v>UrbanWave Mobiles</v>
      </c>
      <c r="F59" s="54">
        <v>2</v>
      </c>
      <c r="G59" s="66">
        <v>18450.25</v>
      </c>
      <c r="H59" s="64">
        <v>0</v>
      </c>
      <c r="I59" s="64">
        <v>18450.25</v>
      </c>
      <c r="J59">
        <v>0</v>
      </c>
      <c r="K59" s="67"/>
    </row>
    <row r="60" spans="1:11" ht="14.45">
      <c r="A60" s="54">
        <v>4</v>
      </c>
      <c r="B60" s="54">
        <v>44012</v>
      </c>
      <c r="C60" s="54" t="str">
        <v>Q2</v>
      </c>
      <c r="D60" s="55" t="str">
        <v>Jun</v>
      </c>
      <c r="E60" s="55" t="str">
        <v>CoreLink Technologies</v>
      </c>
      <c r="F60" s="54">
        <v>35</v>
      </c>
      <c r="G60" s="66">
        <v>340320.9</v>
      </c>
      <c r="H60" s="56">
        <v>312900.09999999998</v>
      </c>
      <c r="I60" s="57">
        <v>27420.800000000047</v>
      </c>
      <c r="J60">
        <v>0</v>
      </c>
      <c r="K60" s="67"/>
    </row>
    <row r="61" spans="1:11" ht="14.45">
      <c r="A61" s="54">
        <v>5</v>
      </c>
      <c r="B61" s="54">
        <v>44012</v>
      </c>
      <c r="C61" s="54" t="str">
        <v>Q2</v>
      </c>
      <c r="D61" s="55" t="str">
        <v>Jun</v>
      </c>
      <c r="E61" s="55" t="str">
        <v>FlashPoint Accessories</v>
      </c>
      <c r="F61" s="54">
        <v>20</v>
      </c>
      <c r="G61" s="66">
        <v>395750.1</v>
      </c>
      <c r="H61" s="56">
        <v>395750.1</v>
      </c>
      <c r="I61" s="57">
        <v>0</v>
      </c>
      <c r="J61" t="str">
        <v>PAID</v>
      </c>
      <c r="K61" s="67"/>
    </row>
    <row r="62" spans="1:11" ht="14.45">
      <c r="A62" s="54">
        <v>6</v>
      </c>
      <c r="B62" s="54">
        <v>44012</v>
      </c>
      <c r="C62" s="54" t="str">
        <v>Q2</v>
      </c>
      <c r="D62" s="55" t="str">
        <v>Jun</v>
      </c>
      <c r="E62" s="55" t="str">
        <v>NovaStreet Phones</v>
      </c>
      <c r="F62" s="54">
        <v>90</v>
      </c>
      <c r="G62" s="66">
        <v>3020480.8</v>
      </c>
      <c r="H62" s="56">
        <v>3060520.25</v>
      </c>
      <c r="I62" s="57">
        <v>-40039.450000000186</v>
      </c>
      <c r="J62" t="str">
        <v>PAID</v>
      </c>
      <c r="K62" s="67"/>
    </row>
    <row r="63" spans="1:11" ht="14.45">
      <c r="A63" s="54">
        <v>7</v>
      </c>
      <c r="B63" s="54">
        <v>44012</v>
      </c>
      <c r="C63" s="54" t="str">
        <v>Q2</v>
      </c>
      <c r="D63" s="55" t="str">
        <v>Jun</v>
      </c>
      <c r="E63" s="55" t="str">
        <v>BrightCell Retailers</v>
      </c>
      <c r="F63" s="54">
        <v>0</v>
      </c>
      <c r="G63" s="66">
        <v>0</v>
      </c>
      <c r="H63" s="56">
        <v>0</v>
      </c>
      <c r="I63" s="57">
        <v>0</v>
      </c>
      <c r="J63">
        <v>0</v>
      </c>
      <c r="K63" s="67"/>
    </row>
    <row r="64" spans="1:11" ht="14.45">
      <c r="A64" s="54">
        <v>8</v>
      </c>
      <c r="B64" s="54">
        <v>44012</v>
      </c>
      <c r="C64" s="54" t="str">
        <v>Q2</v>
      </c>
      <c r="D64" s="55" t="str">
        <v>Jun</v>
      </c>
      <c r="E64" s="55" t="str">
        <v>IronGate Gadgets</v>
      </c>
      <c r="F64" s="54">
        <v>130</v>
      </c>
      <c r="G64" s="66">
        <v>1710320.9</v>
      </c>
      <c r="H64" s="56">
        <v>1690320.9</v>
      </c>
      <c r="I64" s="57">
        <v>20000</v>
      </c>
      <c r="J64" t="str">
        <v>PART PAYMENT</v>
      </c>
      <c r="K64" s="67"/>
    </row>
    <row r="65" spans="1:11" ht="14.45">
      <c r="A65" s="54">
        <v>9</v>
      </c>
      <c r="B65" s="54">
        <v>44012</v>
      </c>
      <c r="C65" s="54" t="str">
        <v>Q2</v>
      </c>
      <c r="D65" s="55" t="str">
        <v>Jun</v>
      </c>
      <c r="E65" s="55" t="str">
        <v>PulseHub Electronics</v>
      </c>
      <c r="F65" s="54">
        <v>4</v>
      </c>
      <c r="G65" s="66">
        <v>88480.6</v>
      </c>
      <c r="H65" s="56">
        <v>88480.6</v>
      </c>
      <c r="I65" s="57">
        <v>0</v>
      </c>
      <c r="J65" t="str">
        <v>PAID</v>
      </c>
      <c r="K65" s="67"/>
    </row>
    <row r="66" spans="1:11" ht="14.45">
      <c r="A66" s="54">
        <v>10</v>
      </c>
      <c r="B66" s="54">
        <v>44012</v>
      </c>
      <c r="C66" s="54" t="str">
        <v>Q2</v>
      </c>
      <c r="D66" s="55" t="str">
        <v>Jun</v>
      </c>
      <c r="E66" s="55" t="str">
        <v>Skyline Mobile Mart</v>
      </c>
      <c r="F66" s="54">
        <v>0</v>
      </c>
      <c r="G66" s="66">
        <v>0</v>
      </c>
      <c r="H66" s="56">
        <v>0</v>
      </c>
      <c r="I66" s="57">
        <v>0</v>
      </c>
      <c r="J66" t="str">
        <v>NOT PAID</v>
      </c>
      <c r="K66" s="67"/>
    </row>
    <row r="67" spans="1:11" ht="14.45">
      <c r="A67" s="54">
        <v>11</v>
      </c>
      <c r="B67" s="54">
        <v>44012</v>
      </c>
      <c r="C67" s="54" t="str">
        <v>Q2</v>
      </c>
      <c r="D67" s="55" t="str">
        <v>Jun</v>
      </c>
      <c r="E67" s="55" t="str">
        <v>Vertex Phone Stores</v>
      </c>
      <c r="F67" s="54">
        <v>12</v>
      </c>
      <c r="G67" s="66">
        <v>650480.6</v>
      </c>
      <c r="H67" s="56">
        <v>645120.30000000005</v>
      </c>
      <c r="I67" s="57">
        <v>5360.2999999999302</v>
      </c>
      <c r="J67" t="str">
        <v>PAID</v>
      </c>
      <c r="K67" s="67"/>
    </row>
    <row r="68" spans="1:11" ht="14.45">
      <c r="A68" s="54">
        <v>1</v>
      </c>
      <c r="B68" s="54">
        <v>44043</v>
      </c>
      <c r="C68" s="54" t="str">
        <v>Q3</v>
      </c>
      <c r="D68" s="55" t="str">
        <v>Jul</v>
      </c>
      <c r="E68" s="55" t="str">
        <v>BluePeak Gadgets Ltd</v>
      </c>
      <c r="F68" s="54">
        <v>7</v>
      </c>
      <c r="G68" s="66">
        <v>350480.5</v>
      </c>
      <c r="H68" s="56">
        <v>0</v>
      </c>
      <c r="I68" s="57">
        <v>350480.5</v>
      </c>
      <c r="J68" t="str">
        <v>NOT PAID</v>
      </c>
      <c r="K68" s="67"/>
    </row>
    <row r="69" spans="1:11" ht="14.45">
      <c r="A69" s="54">
        <v>2</v>
      </c>
      <c r="B69" s="54">
        <v>44043</v>
      </c>
      <c r="C69" s="54" t="str">
        <v>Q3</v>
      </c>
      <c r="D69" s="55" t="str">
        <v>Jul</v>
      </c>
      <c r="E69" s="55" t="str">
        <v>SignalPro Devices</v>
      </c>
      <c r="F69" s="54">
        <v>5</v>
      </c>
      <c r="G69" s="66">
        <v>3050320.75</v>
      </c>
      <c r="H69" s="56">
        <v>3050320.75</v>
      </c>
      <c r="I69" s="57">
        <v>0</v>
      </c>
      <c r="J69" t="str">
        <v>PAID</v>
      </c>
      <c r="K69" s="67"/>
    </row>
    <row r="70" spans="1:11" ht="14.45">
      <c r="A70" s="54">
        <v>3</v>
      </c>
      <c r="B70" s="54">
        <v>44043</v>
      </c>
      <c r="C70" s="54" t="str">
        <v>Q3</v>
      </c>
      <c r="D70" s="55" t="str">
        <v>Jul</v>
      </c>
      <c r="E70" s="55" t="str">
        <v>UrbanWave Mobiles</v>
      </c>
      <c r="F70" s="54">
        <v>0</v>
      </c>
      <c r="G70" s="66">
        <v>0</v>
      </c>
      <c r="H70" s="56">
        <v>0</v>
      </c>
      <c r="I70" s="57">
        <v>0</v>
      </c>
      <c r="J70" t="str">
        <v>NO ORDER</v>
      </c>
      <c r="K70" s="67"/>
    </row>
    <row r="71" spans="1:11" ht="14.45">
      <c r="A71" s="54">
        <v>4</v>
      </c>
      <c r="B71" s="54">
        <v>44043</v>
      </c>
      <c r="C71" s="54" t="str">
        <v>Q3</v>
      </c>
      <c r="D71" s="55" t="str">
        <v>Jul</v>
      </c>
      <c r="E71" s="55" t="str">
        <v>CoreLink Technologies</v>
      </c>
      <c r="F71" s="54">
        <v>32</v>
      </c>
      <c r="G71" s="66">
        <v>820450.9</v>
      </c>
      <c r="H71" s="56">
        <v>55120.4</v>
      </c>
      <c r="I71" s="57">
        <v>765330.5</v>
      </c>
      <c r="J71" t="str">
        <v>NOT PAID</v>
      </c>
      <c r="K71" s="67"/>
    </row>
    <row r="72" spans="1:11" ht="14.45">
      <c r="A72" s="54">
        <v>5</v>
      </c>
      <c r="B72" s="54">
        <v>44043</v>
      </c>
      <c r="C72" s="54" t="str">
        <v>Q3</v>
      </c>
      <c r="D72" s="55" t="str">
        <v>Jul</v>
      </c>
      <c r="E72" s="55" t="str">
        <v>FlashPoint Accessories</v>
      </c>
      <c r="F72" s="54">
        <v>10</v>
      </c>
      <c r="G72" s="66">
        <v>295480.59999999998</v>
      </c>
      <c r="H72" s="56">
        <v>295480.59999999998</v>
      </c>
      <c r="I72" s="57">
        <v>0</v>
      </c>
      <c r="J72" t="str">
        <v>PAID</v>
      </c>
      <c r="K72" s="67"/>
    </row>
    <row r="73" spans="1:11" ht="14.45">
      <c r="A73" s="54">
        <v>6</v>
      </c>
      <c r="B73" s="54">
        <v>44043</v>
      </c>
      <c r="C73" s="54" t="str">
        <v>Q3</v>
      </c>
      <c r="D73" s="55" t="str">
        <v>Jul</v>
      </c>
      <c r="E73" s="55" t="str">
        <v>NovaStreet Phones</v>
      </c>
      <c r="F73" s="54">
        <v>60</v>
      </c>
      <c r="G73" s="66">
        <v>1450250.8</v>
      </c>
      <c r="H73" s="56">
        <v>1540480.9</v>
      </c>
      <c r="I73" s="57">
        <v>-90230.09999999986</v>
      </c>
      <c r="J73" t="str">
        <v>PAID</v>
      </c>
      <c r="K73" s="67"/>
    </row>
    <row r="74" spans="1:11" ht="14.45">
      <c r="A74" s="54">
        <v>7</v>
      </c>
      <c r="B74" s="54">
        <v>44043</v>
      </c>
      <c r="C74" s="54" t="str">
        <v>Q3</v>
      </c>
      <c r="D74" s="55" t="str">
        <v>Jul</v>
      </c>
      <c r="E74" s="55" t="str">
        <v>BrightCell Retailers</v>
      </c>
      <c r="F74" s="54">
        <v>0</v>
      </c>
      <c r="G74" s="66">
        <v>0</v>
      </c>
      <c r="H74" s="56">
        <v>0</v>
      </c>
      <c r="I74" s="57">
        <v>0</v>
      </c>
      <c r="J74" t="str">
        <v>NOT PAID</v>
      </c>
      <c r="K74" s="67"/>
    </row>
    <row r="75" spans="1:11" ht="14.45">
      <c r="A75" s="54">
        <v>8</v>
      </c>
      <c r="B75" s="54">
        <v>44043</v>
      </c>
      <c r="C75" s="54" t="str">
        <v>Q3</v>
      </c>
      <c r="D75" s="55" t="str">
        <v>Jul</v>
      </c>
      <c r="E75" s="55" t="str">
        <v>IronGate Gadgets</v>
      </c>
      <c r="F75" s="54">
        <v>110</v>
      </c>
      <c r="G75" s="66">
        <v>1250320.75</v>
      </c>
      <c r="H75" s="56">
        <v>1220450.5</v>
      </c>
      <c r="I75" s="57">
        <v>29870.25</v>
      </c>
      <c r="J75" t="str">
        <v>PART PAYMENT</v>
      </c>
      <c r="K75" s="67"/>
    </row>
    <row r="76" spans="1:11" ht="14.45">
      <c r="A76" s="54">
        <v>9</v>
      </c>
      <c r="B76" s="54">
        <v>44043</v>
      </c>
      <c r="C76" s="54" t="str">
        <v>Q3</v>
      </c>
      <c r="D76" s="55" t="str">
        <v>Jul</v>
      </c>
      <c r="E76" s="55" t="str">
        <v>PulseHub Electronics</v>
      </c>
      <c r="F76" s="54">
        <v>15</v>
      </c>
      <c r="G76" s="66">
        <v>650480.6</v>
      </c>
      <c r="H76" s="56">
        <v>530320.25</v>
      </c>
      <c r="I76" s="57">
        <v>120160.34999999998</v>
      </c>
      <c r="J76" t="str">
        <v>PART PAYMENT</v>
      </c>
      <c r="K76" s="67"/>
    </row>
    <row r="77" spans="1:11" ht="14.45">
      <c r="A77" s="54">
        <v>10</v>
      </c>
      <c r="B77" s="54">
        <v>44043</v>
      </c>
      <c r="C77" s="54" t="str">
        <v>Q3</v>
      </c>
      <c r="D77" s="55" t="str">
        <v>Jul</v>
      </c>
      <c r="E77" s="55" t="str">
        <v>Skyline Mobile Mart</v>
      </c>
      <c r="F77" s="54">
        <v>0</v>
      </c>
      <c r="G77" s="66">
        <v>0</v>
      </c>
      <c r="H77" s="56">
        <v>0</v>
      </c>
      <c r="I77" s="57">
        <v>0</v>
      </c>
      <c r="J77" t="str">
        <v>NOT PAID</v>
      </c>
      <c r="K77" s="67"/>
    </row>
    <row r="78" spans="1:11" ht="14.45">
      <c r="A78" s="54">
        <v>11</v>
      </c>
      <c r="B78" s="54">
        <v>44043</v>
      </c>
      <c r="C78" s="54" t="str">
        <v>Q3</v>
      </c>
      <c r="D78" s="55" t="str">
        <v>Jul</v>
      </c>
      <c r="E78" s="55" t="str">
        <v>Vertex Phone Stores</v>
      </c>
      <c r="F78" s="54">
        <v>25</v>
      </c>
      <c r="G78" s="66">
        <v>1900480.6</v>
      </c>
      <c r="H78" s="64">
        <v>1900480.6</v>
      </c>
      <c r="I78" s="64">
        <v>0</v>
      </c>
      <c r="J78" t="str">
        <v>PAID</v>
      </c>
      <c r="K78" s="67"/>
    </row>
    <row r="79" spans="1:11" ht="14.45">
      <c r="A79" s="54">
        <v>1</v>
      </c>
      <c r="B79" s="54">
        <v>44074</v>
      </c>
      <c r="C79" s="54" t="str">
        <v>Q3</v>
      </c>
      <c r="D79" s="55" t="str">
        <v>Aug</v>
      </c>
      <c r="E79" s="55" t="str">
        <v>BluePeak Gadgets Ltd</v>
      </c>
      <c r="F79" s="54">
        <v>50</v>
      </c>
      <c r="G79" s="66">
        <v>2750480.5</v>
      </c>
      <c r="H79" s="56">
        <v>470200</v>
      </c>
      <c r="I79" s="57">
        <v>2280280.5</v>
      </c>
      <c r="J79">
        <v>0</v>
      </c>
      <c r="K79" s="67"/>
    </row>
    <row r="80" spans="1:11" ht="14.45">
      <c r="A80" s="54">
        <v>2</v>
      </c>
      <c r="B80" s="54">
        <v>44074</v>
      </c>
      <c r="C80" s="54" t="str">
        <v>Q3</v>
      </c>
      <c r="D80" s="55" t="str">
        <v>Aug</v>
      </c>
      <c r="E80" s="55" t="str">
        <v>SignalPro Devices</v>
      </c>
      <c r="F80" s="54">
        <v>8</v>
      </c>
      <c r="G80" s="66">
        <v>24120320.75</v>
      </c>
      <c r="H80" s="56">
        <v>24120320.75</v>
      </c>
      <c r="I80" s="57">
        <v>0</v>
      </c>
      <c r="J80" t="str">
        <v>PAID</v>
      </c>
      <c r="K80" s="67"/>
    </row>
    <row r="81" spans="1:11" ht="14.45">
      <c r="A81" s="54">
        <v>3</v>
      </c>
      <c r="B81" s="54">
        <v>44074</v>
      </c>
      <c r="C81" s="54" t="str">
        <v>Q3</v>
      </c>
      <c r="D81" s="55" t="str">
        <v>Aug</v>
      </c>
      <c r="E81" s="55" t="str">
        <v>UrbanWave Mobiles</v>
      </c>
      <c r="F81" s="54">
        <v>2</v>
      </c>
      <c r="G81" s="66">
        <v>15480.6</v>
      </c>
      <c r="H81" s="56">
        <v>15480.6</v>
      </c>
      <c r="I81" s="57">
        <v>0</v>
      </c>
      <c r="J81" t="str">
        <v>PAID</v>
      </c>
      <c r="K81" s="67"/>
    </row>
    <row r="82" spans="1:11" ht="14.45">
      <c r="A82" s="54">
        <v>4</v>
      </c>
      <c r="B82" s="54">
        <v>44074</v>
      </c>
      <c r="C82" s="54" t="str">
        <v>Q3</v>
      </c>
      <c r="D82" s="55" t="str">
        <v>Aug</v>
      </c>
      <c r="E82" s="55" t="str">
        <v>CoreLink Technologies</v>
      </c>
      <c r="F82" s="54">
        <v>70</v>
      </c>
      <c r="G82" s="66">
        <v>1300450.8999999999</v>
      </c>
      <c r="H82" s="56">
        <v>45120.4</v>
      </c>
      <c r="I82" s="57">
        <v>1255330.5</v>
      </c>
      <c r="J82" t="str">
        <v>PART PAYMENT</v>
      </c>
      <c r="K82" s="67"/>
    </row>
    <row r="83" spans="1:11" ht="14.45">
      <c r="A83" s="54">
        <v>5</v>
      </c>
      <c r="B83" s="54">
        <v>44074</v>
      </c>
      <c r="C83" s="54" t="str">
        <v>Q3</v>
      </c>
      <c r="D83" s="55" t="str">
        <v>Aug</v>
      </c>
      <c r="E83" s="55" t="str">
        <v>FlashPoint Accessories</v>
      </c>
      <c r="F83" s="54">
        <v>12</v>
      </c>
      <c r="G83" s="66">
        <v>225480.6</v>
      </c>
      <c r="H83" s="56">
        <v>0</v>
      </c>
      <c r="I83" s="57">
        <v>225480.6</v>
      </c>
      <c r="J83" t="str">
        <v>NOT PAID</v>
      </c>
      <c r="K83" s="67"/>
    </row>
    <row r="84" spans="1:11" ht="14.45">
      <c r="A84" s="54">
        <v>6</v>
      </c>
      <c r="B84" s="54">
        <v>44074</v>
      </c>
      <c r="C84" s="54" t="str">
        <v>Q3</v>
      </c>
      <c r="D84" s="55" t="str">
        <v>Aug</v>
      </c>
      <c r="E84" s="55" t="str">
        <v>NovaStreet Phones</v>
      </c>
      <c r="F84" s="54">
        <v>65</v>
      </c>
      <c r="G84" s="66">
        <v>2850250.8</v>
      </c>
      <c r="H84" s="56">
        <v>20480.900000000001</v>
      </c>
      <c r="I84" s="57">
        <v>2829769.9</v>
      </c>
      <c r="J84">
        <v>0</v>
      </c>
      <c r="K84" s="67"/>
    </row>
    <row r="85" spans="1:11" ht="14.45">
      <c r="A85" s="54">
        <v>7</v>
      </c>
      <c r="B85" s="54">
        <v>44074</v>
      </c>
      <c r="C85" s="54" t="str">
        <v>Q3</v>
      </c>
      <c r="D85" s="55" t="str">
        <v>Aug</v>
      </c>
      <c r="E85" s="55" t="str">
        <v>BrightCell Retailers</v>
      </c>
      <c r="F85" s="54">
        <v>0</v>
      </c>
      <c r="G85" s="66">
        <v>0</v>
      </c>
      <c r="H85" s="56">
        <v>0</v>
      </c>
      <c r="I85" s="57">
        <v>0</v>
      </c>
      <c r="J85">
        <v>0</v>
      </c>
      <c r="K85" s="67"/>
    </row>
    <row r="86" spans="1:11" ht="14.45">
      <c r="A86" s="54">
        <v>8</v>
      </c>
      <c r="B86" s="54">
        <v>44074</v>
      </c>
      <c r="C86" s="54" t="str">
        <v>Q3</v>
      </c>
      <c r="D86" s="55" t="str">
        <v>Aug</v>
      </c>
      <c r="E86" s="55" t="str">
        <v>IronGate Gadgets</v>
      </c>
      <c r="F86" s="54">
        <v>110</v>
      </c>
      <c r="G86" s="66">
        <v>970320.75</v>
      </c>
      <c r="H86" s="56">
        <v>0</v>
      </c>
      <c r="I86" s="57">
        <v>970320.75</v>
      </c>
      <c r="J86" t="str">
        <v>NOT PAID</v>
      </c>
      <c r="K86" s="67"/>
    </row>
    <row r="87" spans="1:11" ht="14.45">
      <c r="A87" s="54">
        <v>9</v>
      </c>
      <c r="B87" s="54">
        <v>44074</v>
      </c>
      <c r="C87" s="54" t="str">
        <v>Q3</v>
      </c>
      <c r="D87" s="55" t="str">
        <v>Aug</v>
      </c>
      <c r="E87" s="55" t="str">
        <v>PulseHub Electronics</v>
      </c>
      <c r="F87" s="54">
        <v>10</v>
      </c>
      <c r="G87" s="66">
        <v>650480.6</v>
      </c>
      <c r="H87" s="56">
        <v>650480.6</v>
      </c>
      <c r="I87" s="57">
        <v>0</v>
      </c>
      <c r="J87" t="str">
        <v>PART PAYMENT</v>
      </c>
      <c r="K87" s="67"/>
    </row>
    <row r="88" spans="1:11" ht="14.45">
      <c r="A88" s="54">
        <v>10</v>
      </c>
      <c r="B88" s="54">
        <v>44074</v>
      </c>
      <c r="C88" s="54" t="str">
        <v>Q3</v>
      </c>
      <c r="D88" s="55" t="str">
        <v>Aug</v>
      </c>
      <c r="E88" s="55" t="str">
        <v>Skyline Mobile Mart</v>
      </c>
      <c r="F88" s="54">
        <v>0</v>
      </c>
      <c r="G88" s="66">
        <v>0</v>
      </c>
      <c r="H88" s="56">
        <v>0</v>
      </c>
      <c r="I88" s="57">
        <v>0</v>
      </c>
      <c r="J88">
        <v>0</v>
      </c>
      <c r="K88" s="67"/>
    </row>
    <row r="89" spans="1:11" ht="14.45">
      <c r="A89" s="54">
        <v>11</v>
      </c>
      <c r="B89" s="54">
        <v>44074</v>
      </c>
      <c r="C89" s="54" t="str">
        <v>Q3</v>
      </c>
      <c r="D89" s="55" t="str">
        <v>Aug</v>
      </c>
      <c r="E89" s="55" t="str">
        <v>Vertex Phone Stores</v>
      </c>
      <c r="F89" s="54">
        <v>40</v>
      </c>
      <c r="G89" s="66">
        <v>3300480.6</v>
      </c>
      <c r="H89" s="64">
        <v>390120.3</v>
      </c>
      <c r="I89" s="64">
        <v>2910360.3000000003</v>
      </c>
      <c r="J89" t="str">
        <v>NOT PAID</v>
      </c>
      <c r="K89" s="62"/>
    </row>
    <row r="90" spans="1:11" ht="14.45">
      <c r="A90" s="54">
        <v>1</v>
      </c>
      <c r="B90" s="54">
        <v>44104</v>
      </c>
      <c r="C90" s="54" t="str">
        <v>Q3</v>
      </c>
      <c r="D90" s="55" t="str">
        <v>Sep</v>
      </c>
      <c r="E90" s="55" t="str">
        <v>BluePeak Gadgets Ltd</v>
      </c>
      <c r="F90" s="54">
        <v>35</v>
      </c>
      <c r="G90" s="66">
        <v>1520480.75</v>
      </c>
      <c r="H90" s="56">
        <v>115320.6</v>
      </c>
      <c r="I90" s="57">
        <v>1405160.15</v>
      </c>
      <c r="J90" t="str">
        <v>PART PAYMENT</v>
      </c>
      <c r="K90" s="67"/>
    </row>
    <row r="91" spans="1:11" ht="14.45">
      <c r="A91" s="54">
        <v>3</v>
      </c>
      <c r="B91" s="54">
        <v>44104</v>
      </c>
      <c r="C91" s="54" t="str">
        <v>Q3</v>
      </c>
      <c r="D91" s="55" t="str">
        <v>Sep</v>
      </c>
      <c r="E91" s="55" t="str">
        <v>SignalPro Devices</v>
      </c>
      <c r="F91" s="54">
        <v>0</v>
      </c>
      <c r="G91" s="66">
        <v>0</v>
      </c>
      <c r="H91" s="56">
        <v>0</v>
      </c>
      <c r="I91" s="57">
        <v>0</v>
      </c>
      <c r="J91">
        <v>0</v>
      </c>
      <c r="K91" s="67"/>
    </row>
    <row r="92" spans="1:11" ht="14.45">
      <c r="A92" s="54">
        <v>4</v>
      </c>
      <c r="B92" s="54">
        <v>44104</v>
      </c>
      <c r="C92" s="54" t="str">
        <v>Q3</v>
      </c>
      <c r="D92" s="55" t="str">
        <v>Sep</v>
      </c>
      <c r="E92" s="55" t="str">
        <v>UrbanWave Mobiles</v>
      </c>
      <c r="F92" s="54">
        <v>0</v>
      </c>
      <c r="G92" s="66">
        <v>0</v>
      </c>
      <c r="H92" s="56">
        <v>0</v>
      </c>
      <c r="I92" s="57">
        <v>0</v>
      </c>
      <c r="J92">
        <v>0</v>
      </c>
      <c r="K92" s="67"/>
    </row>
    <row r="93" spans="1:11" ht="14.45">
      <c r="A93" s="54">
        <v>5</v>
      </c>
      <c r="B93" s="54">
        <v>44104</v>
      </c>
      <c r="C93" s="54" t="str">
        <v>Q3</v>
      </c>
      <c r="D93" s="55" t="str">
        <v>Sep</v>
      </c>
      <c r="E93" s="55" t="str">
        <v>CoreLink Technologies</v>
      </c>
      <c r="F93" s="54">
        <v>10</v>
      </c>
      <c r="G93" s="66">
        <v>190450.6</v>
      </c>
      <c r="H93" s="56">
        <v>190420.25</v>
      </c>
      <c r="I93" s="57">
        <v>30.350000000005821</v>
      </c>
      <c r="J93" t="str">
        <v>PART PAYMENT</v>
      </c>
      <c r="K93" s="67"/>
    </row>
    <row r="94" spans="1:11" ht="14.45">
      <c r="A94" s="54">
        <v>6</v>
      </c>
      <c r="B94" s="54">
        <v>44104</v>
      </c>
      <c r="C94" s="54" t="str">
        <v>Q3</v>
      </c>
      <c r="D94" s="55" t="str">
        <v>Sep</v>
      </c>
      <c r="E94" s="55" t="str">
        <v>FlashPoint Accessories</v>
      </c>
      <c r="F94" s="54">
        <v>3</v>
      </c>
      <c r="G94" s="66">
        <v>42480.9</v>
      </c>
      <c r="H94" s="56">
        <v>0</v>
      </c>
      <c r="I94" s="57">
        <v>42480.9</v>
      </c>
      <c r="J94" t="str">
        <v>NOT PAID</v>
      </c>
      <c r="K94" s="67"/>
    </row>
    <row r="95" spans="1:11" ht="14.45">
      <c r="A95" s="54">
        <v>7</v>
      </c>
      <c r="B95" s="54">
        <v>44104</v>
      </c>
      <c r="C95" s="54" t="str">
        <v>Q3</v>
      </c>
      <c r="D95" s="55" t="str">
        <v>Sep</v>
      </c>
      <c r="E95" s="55" t="str">
        <v>NovaStreet Phones</v>
      </c>
      <c r="F95" s="54">
        <v>55</v>
      </c>
      <c r="G95" s="66">
        <v>2720250.8</v>
      </c>
      <c r="H95" s="56">
        <v>1200480.8999999999</v>
      </c>
      <c r="I95" s="57">
        <v>1519769.9</v>
      </c>
      <c r="J95" t="str">
        <v>PART PAYMENT</v>
      </c>
      <c r="K95" s="67"/>
    </row>
    <row r="96" spans="1:11" ht="14.45">
      <c r="A96" s="54">
        <v>8</v>
      </c>
      <c r="B96" s="54">
        <v>44104</v>
      </c>
      <c r="C96" s="54" t="str">
        <v>Q3</v>
      </c>
      <c r="D96" s="55" t="str">
        <v>Sep</v>
      </c>
      <c r="E96" s="55" t="str">
        <v>BrightCell Retailers</v>
      </c>
      <c r="F96" s="54">
        <v>0</v>
      </c>
      <c r="G96" s="66">
        <v>0</v>
      </c>
      <c r="H96" s="56">
        <v>0</v>
      </c>
      <c r="I96" s="57">
        <v>0</v>
      </c>
      <c r="J96">
        <v>0</v>
      </c>
      <c r="K96" s="67"/>
    </row>
    <row r="97" spans="1:11" ht="14.45">
      <c r="A97" s="54">
        <v>9</v>
      </c>
      <c r="B97" s="54">
        <v>44104</v>
      </c>
      <c r="C97" s="54" t="str">
        <v>Q3</v>
      </c>
      <c r="D97" s="55" t="str">
        <v>Sep</v>
      </c>
      <c r="E97" s="55" t="str">
        <v>IronGate Gadgets</v>
      </c>
      <c r="F97" s="54">
        <v>80</v>
      </c>
      <c r="G97" s="66">
        <v>500480.6</v>
      </c>
      <c r="H97" s="56">
        <v>0</v>
      </c>
      <c r="I97" s="57">
        <v>500480.6</v>
      </c>
      <c r="J97" t="str">
        <v>NOT PAID</v>
      </c>
      <c r="K97" s="67"/>
    </row>
    <row r="98" spans="1:11" ht="14.45">
      <c r="A98" s="54">
        <v>10</v>
      </c>
      <c r="B98" s="54">
        <v>44104</v>
      </c>
      <c r="C98" s="54" t="str">
        <v>Q3</v>
      </c>
      <c r="D98" s="55" t="str">
        <v>Sep</v>
      </c>
      <c r="E98" s="55" t="str">
        <v>PulseHub Electronics</v>
      </c>
      <c r="F98" s="54">
        <v>4</v>
      </c>
      <c r="G98" s="66">
        <v>85320.5</v>
      </c>
      <c r="H98" s="56">
        <v>85320.5</v>
      </c>
      <c r="I98" s="57">
        <v>0</v>
      </c>
      <c r="J98" t="str">
        <v>PAID</v>
      </c>
      <c r="K98" s="67"/>
    </row>
    <row r="99" spans="1:11" ht="14.45">
      <c r="A99" s="54">
        <v>11</v>
      </c>
      <c r="B99" s="54">
        <v>44104</v>
      </c>
      <c r="C99" s="54" t="str">
        <v>Q3</v>
      </c>
      <c r="D99" s="55" t="str">
        <v>Sep</v>
      </c>
      <c r="E99" s="55" t="str">
        <v>Skyline Mobile Mart</v>
      </c>
      <c r="F99" s="54">
        <v>0</v>
      </c>
      <c r="G99" s="66">
        <v>0</v>
      </c>
      <c r="H99" s="56">
        <v>0</v>
      </c>
      <c r="I99" s="57">
        <v>0</v>
      </c>
      <c r="J99" t="str">
        <v>NO ORDER</v>
      </c>
      <c r="K99" s="67"/>
    </row>
    <row r="100" spans="1:11" ht="14.45">
      <c r="A100" s="54">
        <v>12</v>
      </c>
      <c r="B100" s="54">
        <v>44104</v>
      </c>
      <c r="C100" s="54" t="str">
        <v>Q3</v>
      </c>
      <c r="D100" s="55" t="str">
        <v>Sep</v>
      </c>
      <c r="E100" s="55" t="str">
        <v>Vertex Phone Stores</v>
      </c>
      <c r="F100" s="54">
        <v>20</v>
      </c>
      <c r="G100" s="66">
        <v>950480.6</v>
      </c>
      <c r="H100" s="56">
        <v>0</v>
      </c>
      <c r="I100" s="57">
        <v>950480.6</v>
      </c>
      <c r="J100" t="str">
        <v>NOT PAID</v>
      </c>
      <c r="K100" s="67"/>
    </row>
    <row r="101" spans="1:11" ht="14.45">
      <c r="A101" s="54">
        <v>1</v>
      </c>
      <c r="B101" s="54">
        <v>45961</v>
      </c>
      <c r="C101" s="54" t="str">
        <v>Q4</v>
      </c>
      <c r="D101" s="55" t="str">
        <v>Oct</v>
      </c>
      <c r="E101" s="55" t="str">
        <v>BluePeak Gadgets Ltd</v>
      </c>
      <c r="F101" s="54">
        <v>15</v>
      </c>
      <c r="G101" s="66">
        <v>6700250.7999999998</v>
      </c>
      <c r="H101" s="56">
        <v>0</v>
      </c>
      <c r="I101" s="57">
        <v>6700250.7999999998</v>
      </c>
      <c r="J101">
        <v>0</v>
      </c>
      <c r="K101" s="67"/>
    </row>
    <row r="102" spans="1:11" ht="14.45">
      <c r="A102" s="54">
        <v>3</v>
      </c>
      <c r="B102" s="54">
        <v>45961</v>
      </c>
      <c r="C102" s="54" t="str">
        <v>Q4</v>
      </c>
      <c r="D102" s="55" t="str">
        <v>Oct</v>
      </c>
      <c r="E102" s="55" t="str">
        <v>SignalPro Devices</v>
      </c>
      <c r="F102" s="54">
        <v>2</v>
      </c>
      <c r="G102" s="66">
        <v>6550480.5999999996</v>
      </c>
      <c r="H102" s="56">
        <v>6330120.4000000004</v>
      </c>
      <c r="I102" s="57">
        <v>220360.19999999925</v>
      </c>
      <c r="J102" t="str">
        <v>PART PAYMENT</v>
      </c>
      <c r="K102" s="67"/>
    </row>
    <row r="103" spans="1:11" ht="14.45">
      <c r="A103" s="54">
        <v>4</v>
      </c>
      <c r="B103" s="54">
        <v>45961</v>
      </c>
      <c r="C103" s="54" t="str">
        <v>Q4</v>
      </c>
      <c r="D103" s="55" t="str">
        <v>Oct</v>
      </c>
      <c r="E103" s="55" t="str">
        <v>UrbanWave Mobiles</v>
      </c>
      <c r="F103" s="54">
        <v>3</v>
      </c>
      <c r="G103" s="66">
        <v>12480.5</v>
      </c>
      <c r="H103" s="56">
        <v>0</v>
      </c>
      <c r="I103" s="57">
        <v>12480.5</v>
      </c>
      <c r="J103" t="str">
        <v>NOT PAID</v>
      </c>
      <c r="K103" s="67"/>
    </row>
    <row r="104" spans="1:11" ht="14.45">
      <c r="A104" s="54">
        <v>5</v>
      </c>
      <c r="B104" s="54">
        <v>45961</v>
      </c>
      <c r="C104" s="54" t="str">
        <v>Q4</v>
      </c>
      <c r="D104" s="55" t="str">
        <v>Oct</v>
      </c>
      <c r="E104" s="55" t="str">
        <v>CoreLink Technologies</v>
      </c>
      <c r="F104" s="54">
        <v>30</v>
      </c>
      <c r="G104" s="66">
        <v>580320.9</v>
      </c>
      <c r="H104" s="56">
        <v>0</v>
      </c>
      <c r="I104" s="57">
        <v>580320.9</v>
      </c>
      <c r="J104" t="str">
        <v>NOT PAID</v>
      </c>
      <c r="K104" s="67"/>
    </row>
    <row r="105" spans="1:11" ht="14.45">
      <c r="A105" s="54">
        <v>6</v>
      </c>
      <c r="B105" s="54">
        <v>45961</v>
      </c>
      <c r="C105" s="54" t="str">
        <v>Q4</v>
      </c>
      <c r="D105" s="55" t="str">
        <v>Oct</v>
      </c>
      <c r="E105" s="55" t="str">
        <v>FlashPoint Accessories</v>
      </c>
      <c r="F105" s="54">
        <v>60</v>
      </c>
      <c r="G105" s="66">
        <v>1550480.75</v>
      </c>
      <c r="H105" s="56">
        <v>0</v>
      </c>
      <c r="I105" s="57">
        <v>1550480.75</v>
      </c>
      <c r="J105" t="str">
        <v>NOT PAID</v>
      </c>
      <c r="K105" s="67"/>
    </row>
    <row r="106" spans="1:11" ht="14.45">
      <c r="A106" s="54">
        <v>7</v>
      </c>
      <c r="B106" s="54">
        <v>45961</v>
      </c>
      <c r="C106" s="54" t="str">
        <v>Q4</v>
      </c>
      <c r="D106" s="55" t="str">
        <v>Oct</v>
      </c>
      <c r="E106" s="55" t="str">
        <v>NovaStreet Phones</v>
      </c>
      <c r="F106" s="54">
        <v>50</v>
      </c>
      <c r="G106" s="66">
        <v>1430250.8</v>
      </c>
      <c r="H106" s="56">
        <v>0</v>
      </c>
      <c r="I106" s="57">
        <v>1430250.8</v>
      </c>
      <c r="J106" t="str">
        <v>NOT PAID</v>
      </c>
      <c r="K106" s="67"/>
    </row>
    <row r="107" spans="1:11" ht="14.45">
      <c r="A107" s="54">
        <v>8</v>
      </c>
      <c r="B107" s="54">
        <v>45961</v>
      </c>
      <c r="C107" s="54" t="str">
        <v>Q4</v>
      </c>
      <c r="D107" s="55" t="str">
        <v>Oct</v>
      </c>
      <c r="E107" s="55" t="str">
        <v>BrightCell Retailers</v>
      </c>
      <c r="F107" s="54">
        <v>2</v>
      </c>
      <c r="G107" s="66">
        <v>25480.6</v>
      </c>
      <c r="H107" s="56">
        <v>25480.6</v>
      </c>
      <c r="I107" s="57">
        <v>0</v>
      </c>
      <c r="J107" t="str">
        <v>PAID</v>
      </c>
      <c r="K107" s="67"/>
    </row>
    <row r="108" spans="1:11" ht="14.45">
      <c r="A108" s="54">
        <v>9</v>
      </c>
      <c r="B108" s="54">
        <v>45961</v>
      </c>
      <c r="C108" s="54" t="str">
        <v>Q4</v>
      </c>
      <c r="D108" s="55" t="str">
        <v>Oct</v>
      </c>
      <c r="E108" s="55" t="str">
        <v>IronGate Gadgets</v>
      </c>
      <c r="F108" s="54">
        <v>140</v>
      </c>
      <c r="G108" s="66">
        <v>1250480.8999999999</v>
      </c>
      <c r="H108" s="56">
        <v>0</v>
      </c>
      <c r="I108" s="57">
        <v>1250480.8999999999</v>
      </c>
      <c r="J108" t="str">
        <v>NOT PAID</v>
      </c>
      <c r="K108" s="67"/>
    </row>
    <row r="109" spans="1:11" ht="14.45">
      <c r="A109" s="54">
        <v>10</v>
      </c>
      <c r="B109" s="54">
        <v>45961</v>
      </c>
      <c r="C109" s="54" t="str">
        <v>Q4</v>
      </c>
      <c r="D109" s="55" t="str">
        <v>Oct</v>
      </c>
      <c r="E109" s="55" t="str">
        <v>PulseHub Electronics</v>
      </c>
      <c r="F109" s="54">
        <v>25</v>
      </c>
      <c r="G109" s="66">
        <v>1100480.6000000001</v>
      </c>
      <c r="H109" s="56">
        <v>1100480.6000000001</v>
      </c>
      <c r="I109" s="61">
        <v>0</v>
      </c>
      <c r="J109" t="str">
        <v>PAID</v>
      </c>
      <c r="K109" s="67"/>
    </row>
    <row r="110" spans="1:11" ht="14.45">
      <c r="A110" s="54">
        <v>11</v>
      </c>
      <c r="B110" s="54">
        <v>45961</v>
      </c>
      <c r="C110" s="54" t="str">
        <v>Q4</v>
      </c>
      <c r="D110" s="55" t="str">
        <v>Oct</v>
      </c>
      <c r="E110" s="55" t="str">
        <v>Skyline Mobile Mart</v>
      </c>
      <c r="F110" s="54">
        <v>0</v>
      </c>
      <c r="G110" s="66">
        <v>0</v>
      </c>
      <c r="H110" s="56">
        <v>0</v>
      </c>
      <c r="I110" s="57">
        <v>0</v>
      </c>
      <c r="J110">
        <v>0</v>
      </c>
      <c r="K110" s="67"/>
    </row>
    <row r="111" spans="1:11" ht="14.45">
      <c r="A111" s="54">
        <v>12</v>
      </c>
      <c r="B111" s="54">
        <v>45961</v>
      </c>
      <c r="C111" s="54" t="str">
        <v>Q4</v>
      </c>
      <c r="D111" s="55" t="str">
        <v>Oct</v>
      </c>
      <c r="E111" s="55" t="str">
        <v>Vertex Phone Stores</v>
      </c>
      <c r="F111" s="54">
        <v>20</v>
      </c>
      <c r="G111" s="66">
        <v>620480.75</v>
      </c>
      <c r="H111" s="56">
        <v>0</v>
      </c>
      <c r="I111" s="57">
        <v>620480.75</v>
      </c>
      <c r="J111">
        <v>0</v>
      </c>
      <c r="K111" s="67"/>
    </row>
    <row r="112" spans="1:11" ht="14.45">
      <c r="A112" s="54">
        <v>1</v>
      </c>
      <c r="B112" s="54">
        <v>45991</v>
      </c>
      <c r="C112" s="54" t="str">
        <v>Q4</v>
      </c>
      <c r="D112" s="55" t="str">
        <v>Nov</v>
      </c>
      <c r="E112" s="55" t="str">
        <v>BluePeak Gadgets Ltd</v>
      </c>
      <c r="F112" s="54">
        <v>20</v>
      </c>
      <c r="G112" s="66">
        <v>2550480.75</v>
      </c>
      <c r="H112" s="56">
        <v>0</v>
      </c>
      <c r="I112" s="57">
        <v>2550480.75</v>
      </c>
      <c r="J112" t="str">
        <v>NOT PAID</v>
      </c>
      <c r="K112" s="67"/>
    </row>
    <row r="113" spans="1:11" ht="14.45">
      <c r="A113" s="54">
        <v>3</v>
      </c>
      <c r="B113" s="54">
        <v>45991</v>
      </c>
      <c r="C113" s="54" t="str">
        <v>Q4</v>
      </c>
      <c r="D113" s="55" t="str">
        <v>Nov</v>
      </c>
      <c r="E113" s="55" t="str">
        <v>SignalPro Devices</v>
      </c>
      <c r="F113" s="54">
        <v>5</v>
      </c>
      <c r="G113" s="66">
        <v>11100250.800000001</v>
      </c>
      <c r="H113" s="56">
        <v>6350480.9000000004</v>
      </c>
      <c r="I113" s="57">
        <v>4749769.9000000004</v>
      </c>
      <c r="J113" t="str">
        <v>NOT PAID</v>
      </c>
      <c r="K113" s="67"/>
    </row>
    <row r="114" spans="1:11" ht="14.45">
      <c r="A114" s="54">
        <v>4</v>
      </c>
      <c r="B114" s="54">
        <v>45991</v>
      </c>
      <c r="C114" s="54" t="str">
        <v>Q4</v>
      </c>
      <c r="D114" s="55" t="str">
        <v>Nov</v>
      </c>
      <c r="E114" s="55" t="str">
        <v>UrbanWave Mobiles</v>
      </c>
      <c r="F114" s="54">
        <v>0</v>
      </c>
      <c r="G114" s="66">
        <v>0</v>
      </c>
      <c r="H114" s="56">
        <v>0</v>
      </c>
      <c r="I114" s="57">
        <v>0</v>
      </c>
      <c r="J114">
        <v>0</v>
      </c>
      <c r="K114" s="67"/>
    </row>
    <row r="115" spans="1:11" ht="14.45">
      <c r="A115" s="54">
        <v>5</v>
      </c>
      <c r="B115" s="54">
        <v>45991</v>
      </c>
      <c r="C115" s="54" t="str">
        <v>Q4</v>
      </c>
      <c r="D115" s="55" t="str">
        <v>Nov</v>
      </c>
      <c r="E115" s="55" t="str">
        <v>CoreLink Technologies</v>
      </c>
      <c r="F115" s="54">
        <v>30</v>
      </c>
      <c r="G115" s="66">
        <v>550480.6</v>
      </c>
      <c r="H115" s="56">
        <v>0</v>
      </c>
      <c r="I115" s="57">
        <v>550480.6</v>
      </c>
      <c r="J115" t="str">
        <v>NOT PAID</v>
      </c>
      <c r="K115" s="67"/>
    </row>
    <row r="116" spans="1:11" ht="14.45">
      <c r="A116" s="54">
        <v>6</v>
      </c>
      <c r="B116" s="54">
        <v>45991</v>
      </c>
      <c r="C116" s="54" t="str">
        <v>Q4</v>
      </c>
      <c r="D116" s="55" t="str">
        <v>Nov</v>
      </c>
      <c r="E116" s="55" t="str">
        <v>FlashPoint Accessories</v>
      </c>
      <c r="F116" s="54">
        <v>55</v>
      </c>
      <c r="G116" s="66">
        <v>1200480.8999999999</v>
      </c>
      <c r="H116" s="56">
        <v>0</v>
      </c>
      <c r="I116" s="57">
        <v>1200480.8999999999</v>
      </c>
      <c r="J116" t="str">
        <v>NOT PAID</v>
      </c>
      <c r="K116" s="67"/>
    </row>
    <row r="117" spans="1:11" ht="14.45">
      <c r="A117" s="54">
        <v>7</v>
      </c>
      <c r="B117" s="54">
        <v>45991</v>
      </c>
      <c r="C117" s="54" t="str">
        <v>Q4</v>
      </c>
      <c r="D117" s="55" t="str">
        <v>Nov</v>
      </c>
      <c r="E117" s="55" t="str">
        <v>NovaStreet Phones</v>
      </c>
      <c r="F117" s="54">
        <v>85</v>
      </c>
      <c r="G117" s="66">
        <v>2780250.8</v>
      </c>
      <c r="H117" s="56">
        <v>0</v>
      </c>
      <c r="I117" s="57">
        <v>2780250.8</v>
      </c>
      <c r="J117" t="str">
        <v>NOT PAID</v>
      </c>
      <c r="K117" s="67"/>
    </row>
    <row r="118" spans="1:11" ht="14.45">
      <c r="A118" s="54">
        <v>8</v>
      </c>
      <c r="B118" s="54">
        <v>45991</v>
      </c>
      <c r="C118" s="54" t="str">
        <v>Q4</v>
      </c>
      <c r="D118" s="55" t="str">
        <v>Nov</v>
      </c>
      <c r="E118" s="55" t="str">
        <v>BrightCell Retailers</v>
      </c>
      <c r="F118" s="54">
        <v>3</v>
      </c>
      <c r="G118" s="66">
        <v>25480.6</v>
      </c>
      <c r="H118" s="56">
        <v>0</v>
      </c>
      <c r="I118" s="57">
        <v>25480.6</v>
      </c>
      <c r="J118" t="str">
        <v>NOT PAID</v>
      </c>
      <c r="K118" s="67"/>
    </row>
    <row r="119" spans="1:11" ht="14.45">
      <c r="A119" s="54">
        <v>9</v>
      </c>
      <c r="B119" s="54">
        <v>45991</v>
      </c>
      <c r="C119" s="54" t="str">
        <v>Q4</v>
      </c>
      <c r="D119" s="55" t="str">
        <v>Nov</v>
      </c>
      <c r="E119" s="55" t="str">
        <v>IronGate Gadgets</v>
      </c>
      <c r="F119" s="54">
        <v>120</v>
      </c>
      <c r="G119" s="66">
        <v>1100480.75</v>
      </c>
      <c r="H119" s="56">
        <v>0</v>
      </c>
      <c r="I119" s="57">
        <v>1100480.75</v>
      </c>
      <c r="J119" t="str">
        <v>NOT PAID</v>
      </c>
      <c r="K119" s="67"/>
    </row>
    <row r="120" spans="1:11" ht="14.45">
      <c r="A120" s="54">
        <v>10</v>
      </c>
      <c r="B120" s="54">
        <v>45991</v>
      </c>
      <c r="C120" s="54" t="str">
        <v>Q4</v>
      </c>
      <c r="D120" s="55" t="str">
        <v>Nov</v>
      </c>
      <c r="E120" s="55" t="str">
        <v>PulseHub Electronics</v>
      </c>
      <c r="F120" s="54">
        <v>45</v>
      </c>
      <c r="G120" s="66">
        <v>900480.6</v>
      </c>
      <c r="H120" s="56">
        <v>900480.6</v>
      </c>
      <c r="I120" s="57">
        <v>0</v>
      </c>
      <c r="J120" t="str">
        <v>PAID</v>
      </c>
      <c r="K120" s="67"/>
    </row>
    <row r="121" spans="1:11" ht="14.45">
      <c r="A121" s="54">
        <v>11</v>
      </c>
      <c r="B121" s="54">
        <v>45991</v>
      </c>
      <c r="C121" s="54" t="str">
        <v>Q4</v>
      </c>
      <c r="D121" s="55" t="str">
        <v>Nov</v>
      </c>
      <c r="E121" s="55" t="str">
        <v>Skyline Mobile Mart</v>
      </c>
      <c r="F121" s="54">
        <v>0</v>
      </c>
      <c r="G121" s="66">
        <v>690480.75</v>
      </c>
      <c r="H121" s="56">
        <v>125480.6</v>
      </c>
      <c r="I121" s="57">
        <v>565000.15</v>
      </c>
      <c r="J121">
        <v>0</v>
      </c>
      <c r="K121" s="67"/>
    </row>
    <row r="122" spans="1:11" ht="14.45">
      <c r="A122" s="54">
        <v>12</v>
      </c>
      <c r="B122" s="54">
        <v>45991</v>
      </c>
      <c r="C122" s="54" t="str">
        <v>Q4</v>
      </c>
      <c r="D122" s="55" t="str">
        <v>Nov</v>
      </c>
      <c r="E122" s="55" t="str">
        <v>Vertex Phone Stores</v>
      </c>
      <c r="F122" s="54">
        <v>15</v>
      </c>
      <c r="G122" s="66">
        <v>420480.6</v>
      </c>
      <c r="H122" s="56">
        <v>325480.5</v>
      </c>
      <c r="I122" s="57">
        <v>95000.099999999977</v>
      </c>
      <c r="J122" t="str">
        <v>PART PAYMENT</v>
      </c>
      <c r="K122" s="67"/>
    </row>
    <row r="123" spans="1:11" ht="14.45">
      <c r="A123" s="54">
        <v>13</v>
      </c>
      <c r="B123" s="54">
        <v>45991</v>
      </c>
      <c r="C123" s="54" t="str">
        <v>Q4</v>
      </c>
      <c r="D123" s="55" t="str">
        <v>Nov</v>
      </c>
      <c r="E123" s="55" t="str">
        <v>Chike &amp; Sons Accessories</v>
      </c>
      <c r="F123" s="54">
        <v>15</v>
      </c>
      <c r="G123" s="66">
        <v>420480.6</v>
      </c>
      <c r="H123" s="56">
        <v>325480.5</v>
      </c>
      <c r="I123" s="57">
        <v>95000.099999999977</v>
      </c>
      <c r="J123" t="str">
        <v>PART PAYMENT</v>
      </c>
      <c r="K123" s="67"/>
    </row>
    <row r="124" spans="1:11" ht="14.45">
      <c r="A124" s="5"/>
      <c r="J124"/>
    </row>
    <row r="125" spans="1:11" ht="14.45">
      <c r="A125" s="5"/>
      <c r="J125"/>
    </row>
    <row r="126" spans="1:11" ht="14.45">
      <c r="A126" s="5"/>
      <c r="J126"/>
    </row>
    <row r="127" spans="1:11" ht="14.45">
      <c r="A127" s="5"/>
      <c r="J127"/>
    </row>
    <row r="128" spans="1:11" ht="14.45">
      <c r="A128" s="5"/>
      <c r="J128"/>
    </row>
    <row r="129" spans="1:10" ht="14.45">
      <c r="A129" s="5"/>
      <c r="J129"/>
    </row>
    <row r="130" spans="1:10" ht="14.45">
      <c r="A130" s="5"/>
      <c r="J130"/>
    </row>
    <row r="131" spans="1:10" ht="14.45">
      <c r="A131" s="5"/>
      <c r="J131"/>
    </row>
    <row r="132" spans="1:10" ht="14.45">
      <c r="A132" s="5"/>
      <c r="J132"/>
    </row>
    <row r="133" spans="1:10" ht="14.45">
      <c r="A133" s="5"/>
      <c r="J133"/>
    </row>
    <row r="134" spans="1:10" ht="14.45">
      <c r="A134" s="5"/>
      <c r="J134"/>
    </row>
    <row r="135" spans="1:10" ht="14.45">
      <c r="A135" s="5"/>
      <c r="J135"/>
    </row>
    <row r="136" spans="1:10" ht="14.45">
      <c r="A136" s="5"/>
      <c r="J136"/>
    </row>
    <row r="137" spans="1:10" ht="14.45">
      <c r="A137" s="5"/>
      <c r="J137"/>
    </row>
    <row r="138" spans="1:10" ht="14.45">
      <c r="A138" s="5"/>
      <c r="J138"/>
    </row>
    <row r="139" spans="1:10" ht="14.45">
      <c r="A139" s="5"/>
      <c r="J139"/>
    </row>
    <row r="140" spans="1:10" ht="14.45">
      <c r="A140" s="5"/>
      <c r="J140"/>
    </row>
    <row r="141" spans="1:10" ht="14.45">
      <c r="A141" s="5"/>
      <c r="J141"/>
    </row>
    <row r="142" spans="1:10" ht="14.45">
      <c r="A142" s="5"/>
      <c r="J142"/>
    </row>
    <row r="143" spans="1:10" ht="14.45">
      <c r="A143" s="5"/>
      <c r="J143"/>
    </row>
    <row r="144" spans="1:10" ht="14.45">
      <c r="A144" s="5"/>
      <c r="J144"/>
    </row>
    <row r="145" spans="1:10" ht="14.45">
      <c r="A145" s="5"/>
      <c r="J145"/>
    </row>
    <row r="146" spans="1:10" ht="14.45">
      <c r="A146" s="5"/>
      <c r="J146"/>
    </row>
  </sheetData>
  <protectedRanges>
    <protectedRange sqref="P1:AY1048576 B1:N1048576" name="Range1"/>
  </protectedRanges>
  <conditionalFormatting sqref="J147:J1048576">
    <cfRule type="cellIs" dxfId="200" priority="78" operator="greaterThan">
      <formula>0</formula>
    </cfRule>
  </conditionalFormatting>
  <conditionalFormatting sqref="K24:K88 K90:K100 K112:K1048576">
    <cfRule type="cellIs" dxfId="199" priority="73" operator="equal">
      <formula>"PAID BUT NOT INVOICED"</formula>
    </cfRule>
    <cfRule type="cellIs" dxfId="198" priority="74" operator="equal">
      <formula>"PART PAYMENT"</formula>
    </cfRule>
    <cfRule type="cellIs" dxfId="197" priority="75" operator="equal">
      <formula>"NOT PAID"</formula>
    </cfRule>
    <cfRule type="cellIs" dxfId="196" priority="76" operator="equal">
      <formula>"PAID"</formula>
    </cfRule>
  </conditionalFormatting>
  <conditionalFormatting sqref="K2:K12">
    <cfRule type="cellIs" dxfId="195" priority="26" operator="equal">
      <formula>"PAID BUT NOT INVOICED"</formula>
    </cfRule>
    <cfRule type="cellIs" dxfId="194" priority="27" operator="equal">
      <formula>"PART PAYMENT"</formula>
    </cfRule>
    <cfRule type="cellIs" dxfId="193" priority="28" operator="equal">
      <formula>"NOT PAID"</formula>
    </cfRule>
    <cfRule type="cellIs" dxfId="192" priority="29" operator="equal">
      <formula>"PAID"</formula>
    </cfRule>
  </conditionalFormatting>
  <conditionalFormatting sqref="K13:K23">
    <cfRule type="cellIs" dxfId="191" priority="20" operator="equal">
      <formula>"PAID BUT NOT INVOICED"</formula>
    </cfRule>
    <cfRule type="cellIs" dxfId="190" priority="21" operator="equal">
      <formula>"PART PAYMENT"</formula>
    </cfRule>
    <cfRule type="cellIs" dxfId="189" priority="22" operator="equal">
      <formula>"NOT PAID"</formula>
    </cfRule>
    <cfRule type="cellIs" dxfId="188" priority="23" operator="equal">
      <formula>"PAID"</formula>
    </cfRule>
  </conditionalFormatting>
  <conditionalFormatting sqref="K89">
    <cfRule type="cellIs" dxfId="187" priority="14" operator="equal">
      <formula>"PAID BUT NOT INVOICED"</formula>
    </cfRule>
    <cfRule type="cellIs" dxfId="186" priority="15" operator="equal">
      <formula>"PART PAYMENT"</formula>
    </cfRule>
    <cfRule type="cellIs" dxfId="185" priority="16" operator="equal">
      <formula>"NOT PAID"</formula>
    </cfRule>
    <cfRule type="cellIs" dxfId="184" priority="17" operator="equal">
      <formula>"PAID"</formula>
    </cfRule>
  </conditionalFormatting>
  <conditionalFormatting sqref="K101:K111">
    <cfRule type="cellIs" dxfId="183" priority="6" operator="equal">
      <formula>"PAID BUT NOT INVOICED"</formula>
    </cfRule>
    <cfRule type="cellIs" dxfId="182" priority="7" operator="equal">
      <formula>"PART PAYMENT"</formula>
    </cfRule>
    <cfRule type="cellIs" dxfId="181" priority="8" operator="equal">
      <formula>"NOT PAID"</formula>
    </cfRule>
    <cfRule type="cellIs" dxfId="180" priority="9" operator="equal">
      <formula>"PAID"</formula>
    </cfRule>
  </conditionalFormatting>
  <conditionalFormatting sqref="J2:J146">
    <cfRule type="cellIs" dxfId="179" priority="1" operator="equal">
      <formula>"PAID BUT NOT INVOICED"</formula>
    </cfRule>
    <cfRule type="cellIs" dxfId="178" priority="2" operator="equal">
      <formula>"PART PAYMENT"</formula>
    </cfRule>
    <cfRule type="cellIs" dxfId="177" priority="3" operator="equal">
      <formula>"NOT PAID"</formula>
    </cfRule>
    <cfRule type="cellIs" dxfId="176" priority="4" operator="equal">
      <formula>"PAID"</formula>
    </cfRule>
  </conditionalFormatting>
  <dataValidations disablePrompts="1" count="1">
    <dataValidation type="list" allowBlank="1" showInputMessage="1" showErrorMessage="1" sqref="K2:K123" xr:uid="{34662ECC-5C2C-4F3F-9994-8295E76E9F0D}">
      <formula1>"PAID, NOT PAID, PART PAYMENT, PAID BUT NOT INVOICED, NO ORDER"</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FECF0-E864-408B-9F2D-07A3A12DB0AE}">
  <dimension ref="A1:K56"/>
  <sheetViews>
    <sheetView workbookViewId="0">
      <selection activeCell="C2" sqref="C2"/>
    </sheetView>
  </sheetViews>
  <sheetFormatPr defaultRowHeight="15" customHeight="1"/>
  <cols>
    <col min="2" max="2" width="12" customWidth="1"/>
    <col min="3" max="3" width="7.85546875" customWidth="1"/>
    <col min="4" max="4" width="14.28515625" customWidth="1"/>
    <col min="5" max="5" width="19" customWidth="1"/>
    <col min="6" max="6" width="17.7109375" customWidth="1"/>
    <col min="7" max="7" width="22.28515625" customWidth="1"/>
    <col min="8" max="8" width="21.140625" customWidth="1"/>
    <col min="9" max="9" width="23.42578125" customWidth="1"/>
    <col min="10" max="10" width="24.42578125" customWidth="1"/>
    <col min="11" max="11" width="19.7109375" customWidth="1"/>
  </cols>
  <sheetData>
    <row r="1" spans="1:11" ht="14.45">
      <c r="A1" s="1" t="s">
        <v>0</v>
      </c>
      <c r="B1" s="4" t="s">
        <v>1</v>
      </c>
      <c r="C1" s="1" t="s">
        <v>2</v>
      </c>
      <c r="D1" s="1" t="s">
        <v>3</v>
      </c>
      <c r="E1" s="1" t="s">
        <v>4</v>
      </c>
      <c r="F1" s="1" t="s">
        <v>5</v>
      </c>
      <c r="G1" s="2" t="s">
        <v>6</v>
      </c>
      <c r="H1" s="3" t="s">
        <v>7</v>
      </c>
      <c r="I1" s="2" t="s">
        <v>8</v>
      </c>
      <c r="J1" s="1" t="s">
        <v>9</v>
      </c>
      <c r="K1" s="4" t="s">
        <v>10</v>
      </c>
    </row>
    <row r="2" spans="1:11" ht="31.9" customHeight="1">
      <c r="A2" s="75">
        <v>1</v>
      </c>
      <c r="B2" s="76">
        <v>43861</v>
      </c>
      <c r="C2" s="75" t="str">
        <f t="shared" ref="C2:C12" si="0">"Q"&amp;INT((MONTH(A2)-1)/3)+1</f>
        <v>Q1</v>
      </c>
      <c r="D2" s="75" t="str">
        <f>TEXT(JAN[[#This Row],[Invoice Date]],"MMM")</f>
        <v>Jan</v>
      </c>
      <c r="E2" s="75" t="s">
        <v>11</v>
      </c>
      <c r="F2" s="75">
        <v>111</v>
      </c>
      <c r="G2" s="78">
        <v>5650120.5</v>
      </c>
      <c r="H2" s="78">
        <v>5650120.5</v>
      </c>
      <c r="I2" s="8">
        <f>JAN[[#This Row],[Invoice Value(₦)]]-JAN[[#This Row],[Cash Received (₦)]]</f>
        <v>0</v>
      </c>
      <c r="J2" s="9" t="s">
        <v>12</v>
      </c>
      <c r="K2" s="10"/>
    </row>
    <row r="3" spans="1:11" ht="14.45">
      <c r="A3" s="75">
        <v>2</v>
      </c>
      <c r="B3" s="76">
        <v>43861</v>
      </c>
      <c r="C3" s="75" t="str">
        <f t="shared" si="0"/>
        <v>Q1</v>
      </c>
      <c r="D3" s="75" t="str">
        <f>TEXT(JAN[[#This Row],[Invoice Date]],"MMM")</f>
        <v>Jan</v>
      </c>
      <c r="E3" s="75" t="s">
        <v>13</v>
      </c>
      <c r="F3" s="75">
        <v>4</v>
      </c>
      <c r="G3" s="78">
        <v>10115500</v>
      </c>
      <c r="H3" s="78">
        <v>10115500</v>
      </c>
      <c r="I3" s="8">
        <f>JAN[[#This Row],[Invoice Value(₦)]]-JAN[[#This Row],[Cash Received (₦)]]</f>
        <v>0</v>
      </c>
      <c r="J3" s="13" t="s">
        <v>12</v>
      </c>
      <c r="K3" s="10"/>
    </row>
    <row r="4" spans="1:11" ht="14.45">
      <c r="A4" s="75">
        <v>3</v>
      </c>
      <c r="B4" s="76">
        <v>43861</v>
      </c>
      <c r="C4" s="75" t="str">
        <f t="shared" si="0"/>
        <v>Q1</v>
      </c>
      <c r="D4" s="75" t="str">
        <f>TEXT(JAN[[#This Row],[Invoice Date]],"MMM")</f>
        <v>Jan</v>
      </c>
      <c r="E4" s="75" t="s">
        <v>14</v>
      </c>
      <c r="F4" s="75">
        <v>11</v>
      </c>
      <c r="G4" s="78">
        <v>150320</v>
      </c>
      <c r="H4" s="78">
        <v>150320</v>
      </c>
      <c r="I4" s="8">
        <f>JAN[[#This Row],[Invoice Value(₦)]]-JAN[[#This Row],[Cash Received (₦)]]</f>
        <v>0</v>
      </c>
      <c r="J4" s="9" t="s">
        <v>12</v>
      </c>
      <c r="K4" s="10"/>
    </row>
    <row r="5" spans="1:11" ht="29.1">
      <c r="A5" s="75">
        <v>4</v>
      </c>
      <c r="B5" s="76">
        <v>43861</v>
      </c>
      <c r="C5" s="75" t="str">
        <f t="shared" si="0"/>
        <v>Q1</v>
      </c>
      <c r="D5" s="75" t="str">
        <f>TEXT(JAN[[#This Row],[Invoice Date]],"MMM")</f>
        <v>Jan</v>
      </c>
      <c r="E5" s="75" t="s">
        <v>15</v>
      </c>
      <c r="F5" s="75">
        <v>12</v>
      </c>
      <c r="G5" s="78">
        <v>220900</v>
      </c>
      <c r="H5" s="78">
        <v>220900</v>
      </c>
      <c r="I5" s="8">
        <f>JAN[[#This Row],[Invoice Value(₦)]]-JAN[[#This Row],[Cash Received (₦)]]</f>
        <v>0</v>
      </c>
      <c r="J5" s="9" t="s">
        <v>12</v>
      </c>
      <c r="K5" s="10"/>
    </row>
    <row r="6" spans="1:11" ht="29.1">
      <c r="A6" s="75">
        <v>5</v>
      </c>
      <c r="B6" s="76">
        <v>43861</v>
      </c>
      <c r="C6" s="75" t="str">
        <f t="shared" si="0"/>
        <v>Q1</v>
      </c>
      <c r="D6" s="75" t="str">
        <f>TEXT(JAN[[#This Row],[Invoice Date]],"MMM")</f>
        <v>Jan</v>
      </c>
      <c r="E6" s="75" t="s">
        <v>16</v>
      </c>
      <c r="F6" s="75">
        <v>4</v>
      </c>
      <c r="G6" s="78">
        <v>198450</v>
      </c>
      <c r="H6" s="78">
        <v>198450</v>
      </c>
      <c r="I6" s="8">
        <f>JAN[[#This Row],[Invoice Value(₦)]]-JAN[[#This Row],[Cash Received (₦)]]</f>
        <v>0</v>
      </c>
      <c r="J6" s="9" t="s">
        <v>17</v>
      </c>
      <c r="K6" s="10"/>
    </row>
    <row r="7" spans="1:11" ht="14.45">
      <c r="A7" s="75">
        <v>6</v>
      </c>
      <c r="B7" s="76">
        <v>43861</v>
      </c>
      <c r="C7" s="75" t="str">
        <f t="shared" si="0"/>
        <v>Q1</v>
      </c>
      <c r="D7" s="75" t="str">
        <f>TEXT(JAN[[#This Row],[Invoice Date]],"MMM")</f>
        <v>Jan</v>
      </c>
      <c r="E7" s="75" t="s">
        <v>18</v>
      </c>
      <c r="F7" s="75">
        <v>0</v>
      </c>
      <c r="G7" s="75"/>
      <c r="H7" s="75"/>
      <c r="I7" s="14">
        <v>0</v>
      </c>
      <c r="J7" s="13" t="s">
        <v>19</v>
      </c>
      <c r="K7" s="10"/>
    </row>
    <row r="8" spans="1:11" ht="14.45">
      <c r="A8" s="75">
        <v>7</v>
      </c>
      <c r="B8" s="76">
        <v>43861</v>
      </c>
      <c r="C8" s="75" t="str">
        <f t="shared" si="0"/>
        <v>Q1</v>
      </c>
      <c r="D8" s="75" t="str">
        <f>TEXT(JAN[[#This Row],[Invoice Date]],"MMM")</f>
        <v>Jan</v>
      </c>
      <c r="E8" s="75" t="s">
        <v>20</v>
      </c>
      <c r="F8" s="75">
        <v>0</v>
      </c>
      <c r="G8" s="75"/>
      <c r="H8" s="75"/>
      <c r="I8" s="14">
        <v>0</v>
      </c>
      <c r="J8" s="13" t="s">
        <v>19</v>
      </c>
      <c r="K8" s="10"/>
    </row>
    <row r="9" spans="1:11" ht="14.45">
      <c r="A9" s="75">
        <v>8</v>
      </c>
      <c r="B9" s="76">
        <v>43861</v>
      </c>
      <c r="C9" s="75" t="str">
        <f t="shared" si="0"/>
        <v>Q1</v>
      </c>
      <c r="D9" s="75" t="str">
        <f>TEXT(JAN[[#This Row],[Invoice Date]],"MMM")</f>
        <v>Jan</v>
      </c>
      <c r="E9" s="75" t="s">
        <v>21</v>
      </c>
      <c r="F9" s="75">
        <v>0</v>
      </c>
      <c r="G9" s="75"/>
      <c r="H9" s="75"/>
      <c r="I9" s="14">
        <f>JAN[[#This Row],[Invoice Value(₦)]]-JAN[[#This Row],[Cash Received (₦)]]</f>
        <v>0</v>
      </c>
      <c r="J9" s="15" t="s">
        <v>19</v>
      </c>
      <c r="K9" s="10"/>
    </row>
    <row r="10" spans="1:11" ht="14.45">
      <c r="A10" s="75">
        <v>9</v>
      </c>
      <c r="B10" s="76">
        <v>43861</v>
      </c>
      <c r="C10" s="75" t="str">
        <f t="shared" si="0"/>
        <v>Q1</v>
      </c>
      <c r="D10" s="75" t="str">
        <f>TEXT(JAN[[#This Row],[Invoice Date]],"MMM")</f>
        <v>Jan</v>
      </c>
      <c r="E10" s="75" t="s">
        <v>22</v>
      </c>
      <c r="F10" s="75">
        <v>15</v>
      </c>
      <c r="G10" s="78">
        <v>395200</v>
      </c>
      <c r="H10" s="78">
        <v>395200</v>
      </c>
      <c r="I10" s="14">
        <f>JAN[[#This Row],[Invoice Value(₦)]]-JAN[[#This Row],[Cash Received (₦)]]</f>
        <v>0</v>
      </c>
      <c r="J10" s="12" t="s">
        <v>12</v>
      </c>
      <c r="K10" s="10"/>
    </row>
    <row r="11" spans="1:11" ht="14.45">
      <c r="A11" s="75">
        <v>10</v>
      </c>
      <c r="B11" s="76">
        <v>43861</v>
      </c>
      <c r="C11" s="75" t="str">
        <f t="shared" si="0"/>
        <v>Q1</v>
      </c>
      <c r="D11" s="75" t="str">
        <f>TEXT(JAN[[#This Row],[Invoice Date]],"MMM")</f>
        <v>Jan</v>
      </c>
      <c r="E11" s="75" t="s">
        <v>23</v>
      </c>
      <c r="F11" s="75">
        <v>0</v>
      </c>
      <c r="G11" s="75"/>
      <c r="H11" s="75"/>
      <c r="I11" s="14">
        <f>JAN[[#This Row],[Invoice Value(₦)]]-JAN[[#This Row],[Cash Received (₦)]]</f>
        <v>0</v>
      </c>
      <c r="J11" s="13" t="s">
        <v>19</v>
      </c>
      <c r="K11" s="10"/>
    </row>
    <row r="12" spans="1:11" ht="14.45">
      <c r="A12" s="75">
        <v>11</v>
      </c>
      <c r="B12" s="76">
        <v>43861</v>
      </c>
      <c r="C12" s="75" t="str">
        <f t="shared" si="0"/>
        <v>Q1</v>
      </c>
      <c r="D12" s="75" t="str">
        <f>TEXT(JAN[[#This Row],[Invoice Date]],"MMM")</f>
        <v>Jan</v>
      </c>
      <c r="E12" s="75" t="s">
        <v>24</v>
      </c>
      <c r="F12" s="75">
        <v>6</v>
      </c>
      <c r="G12" s="78">
        <v>275900</v>
      </c>
      <c r="H12" s="78">
        <v>275900</v>
      </c>
      <c r="I12" s="14">
        <f>JAN[[#This Row],[Invoice Value(₦)]]-JAN[[#This Row],[Cash Received (₦)]]</f>
        <v>0</v>
      </c>
      <c r="J12" s="12" t="s">
        <v>12</v>
      </c>
      <c r="K12" s="10"/>
    </row>
    <row r="13" spans="1:11" ht="18.600000000000001">
      <c r="A13" s="16"/>
      <c r="B13" s="17"/>
      <c r="C13" s="36"/>
      <c r="D13" s="36"/>
      <c r="E13" s="18" t="s">
        <v>25</v>
      </c>
      <c r="F13" s="19">
        <f t="shared" ref="F13:I13" si="1">SUM(F2:F12)</f>
        <v>163</v>
      </c>
      <c r="G13" s="20">
        <f t="shared" si="1"/>
        <v>17006390.5</v>
      </c>
      <c r="H13" s="20">
        <f t="shared" si="1"/>
        <v>17006390.5</v>
      </c>
      <c r="I13" s="20">
        <f t="shared" si="1"/>
        <v>0</v>
      </c>
      <c r="J13" s="19"/>
      <c r="K13" s="21"/>
    </row>
    <row r="36" ht="14.45"/>
    <row r="37" ht="14.45"/>
    <row r="38" ht="14.45"/>
    <row r="39" ht="14.45"/>
    <row r="40" ht="14.45"/>
    <row r="41" ht="14.45"/>
    <row r="42" ht="14.45"/>
    <row r="43" ht="14.45"/>
    <row r="44" ht="14.45"/>
    <row r="45" ht="14.45"/>
    <row r="46" ht="14.45"/>
    <row r="47" ht="14.45"/>
    <row r="48" ht="14.45"/>
    <row r="49" ht="14.45"/>
    <row r="50" ht="14.45"/>
    <row r="51" ht="14.45"/>
    <row r="52" ht="14.45"/>
    <row r="53" ht="14.45"/>
    <row r="54" ht="14.45"/>
    <row r="55" ht="14.45"/>
    <row r="56" ht="14.45"/>
  </sheetData>
  <conditionalFormatting sqref="I2:I12">
    <cfRule type="cellIs" dxfId="175" priority="6" operator="greaterThan">
      <formula>0</formula>
    </cfRule>
  </conditionalFormatting>
  <conditionalFormatting sqref="J2:J1048576">
    <cfRule type="cellIs" dxfId="174" priority="1" operator="equal">
      <formula>"PAID BUT NOT INVOICED"</formula>
    </cfRule>
    <cfRule type="cellIs" dxfId="173" priority="2" operator="equal">
      <formula>"PART PAYMENT"</formula>
    </cfRule>
    <cfRule type="cellIs" dxfId="172" priority="3" operator="equal">
      <formula>"NOT PAID"</formula>
    </cfRule>
    <cfRule type="cellIs" dxfId="171" priority="4" operator="equal">
      <formula>"PAID"</formula>
    </cfRule>
  </conditionalFormatting>
  <dataValidations count="1">
    <dataValidation type="list" allowBlank="1" showInputMessage="1" showErrorMessage="1" sqref="J2:J12" xr:uid="{0F541CA0-8B51-4A1F-A55A-7B3EB14D688E}">
      <formula1>"PAID, NOT PAID, PART PAYMENT, PAID BUT NOT INVOICED, NO ORDER"</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8016F-480D-486A-A1B8-968681F98E24}">
  <dimension ref="A1:K13"/>
  <sheetViews>
    <sheetView zoomScale="85" zoomScaleNormal="85" workbookViewId="0">
      <selection activeCell="D2" sqref="D2"/>
    </sheetView>
  </sheetViews>
  <sheetFormatPr defaultRowHeight="15" customHeight="1"/>
  <cols>
    <col min="2" max="4" width="14.28515625" customWidth="1"/>
    <col min="5" max="5" width="19" customWidth="1"/>
    <col min="6" max="6" width="17.7109375" customWidth="1"/>
    <col min="7" max="7" width="22.28515625" customWidth="1"/>
    <col min="8" max="8" width="21.140625" customWidth="1"/>
    <col min="9" max="9" width="23.28515625" customWidth="1"/>
    <col min="10" max="10" width="24.42578125" customWidth="1"/>
    <col min="11" max="11" width="19.7109375" customWidth="1"/>
  </cols>
  <sheetData>
    <row r="1" spans="1:11" ht="14.45">
      <c r="A1" s="1" t="s">
        <v>0</v>
      </c>
      <c r="B1" s="4" t="s">
        <v>1</v>
      </c>
      <c r="C1" s="1" t="s">
        <v>2</v>
      </c>
      <c r="D1" s="1" t="s">
        <v>3</v>
      </c>
      <c r="E1" s="1" t="s">
        <v>4</v>
      </c>
      <c r="F1" s="1" t="s">
        <v>5</v>
      </c>
      <c r="G1" s="2" t="s">
        <v>6</v>
      </c>
      <c r="H1" s="3" t="s">
        <v>7</v>
      </c>
      <c r="I1" s="2" t="s">
        <v>8</v>
      </c>
      <c r="J1" s="1" t="s">
        <v>9</v>
      </c>
      <c r="K1" s="4" t="s">
        <v>10</v>
      </c>
    </row>
    <row r="2" spans="1:11" ht="31.9" customHeight="1">
      <c r="A2" s="75">
        <v>1</v>
      </c>
      <c r="B2" s="76">
        <v>43889</v>
      </c>
      <c r="C2" s="32" t="str">
        <f t="shared" ref="C2:C12" si="0">"Q"&amp;INT((MONTH(A2)-1)/3)+1</f>
        <v>Q1</v>
      </c>
      <c r="D2" s="32" t="str">
        <f>TEXT(FEB[[#This Row],[Invoice Date]],"MMM")</f>
        <v>Feb</v>
      </c>
      <c r="E2" s="75" t="s">
        <v>11</v>
      </c>
      <c r="F2" s="75">
        <v>224</v>
      </c>
      <c r="G2" s="78">
        <v>9872450.75</v>
      </c>
      <c r="H2" s="78">
        <v>9120300.1999999993</v>
      </c>
      <c r="I2" s="25">
        <f>FEB[[#This Row],[Invoice Value(₦)]]-FEB[[#This Row],[Cash Received (₦)]]</f>
        <v>752150.55000000075</v>
      </c>
      <c r="J2" s="9" t="s">
        <v>17</v>
      </c>
      <c r="K2" s="10"/>
    </row>
    <row r="3" spans="1:11" ht="14.45">
      <c r="A3" s="75">
        <v>2</v>
      </c>
      <c r="B3" s="76">
        <v>43889</v>
      </c>
      <c r="C3" s="32" t="str">
        <f t="shared" si="0"/>
        <v>Q1</v>
      </c>
      <c r="D3" s="32" t="str">
        <f>TEXT(FEB[[#This Row],[Invoice Date]],"MMM")</f>
        <v>Feb</v>
      </c>
      <c r="E3" s="75" t="s">
        <v>13</v>
      </c>
      <c r="F3" s="75">
        <v>2</v>
      </c>
      <c r="G3" s="78">
        <v>7450120.5</v>
      </c>
      <c r="H3" s="78">
        <v>7450120.5</v>
      </c>
      <c r="I3" s="25">
        <f>FEB[[#This Row],[Invoice Value(₦)]]-FEB[[#This Row],[Cash Received (₦)]]</f>
        <v>0</v>
      </c>
      <c r="J3" s="13" t="s">
        <v>12</v>
      </c>
      <c r="K3" s="10"/>
    </row>
    <row r="4" spans="1:11" ht="14.45">
      <c r="A4" s="75">
        <v>3</v>
      </c>
      <c r="B4" s="76">
        <v>43889</v>
      </c>
      <c r="C4" s="32" t="str">
        <f t="shared" si="0"/>
        <v>Q1</v>
      </c>
      <c r="D4" s="32" t="str">
        <f>TEXT(FEB[[#This Row],[Invoice Date]],"MMM")</f>
        <v>Feb</v>
      </c>
      <c r="E4" s="75" t="s">
        <v>14</v>
      </c>
      <c r="F4" s="75">
        <v>5</v>
      </c>
      <c r="G4" s="78">
        <v>82450.3</v>
      </c>
      <c r="H4" s="78">
        <v>82450.3</v>
      </c>
      <c r="I4" s="25">
        <f>FEB[[#This Row],[Invoice Value(₦)]]-FEB[[#This Row],[Cash Received (₦)]]</f>
        <v>0</v>
      </c>
      <c r="J4" s="9" t="s">
        <v>12</v>
      </c>
      <c r="K4" s="10"/>
    </row>
    <row r="5" spans="1:11" ht="29.1">
      <c r="A5" s="75">
        <v>4</v>
      </c>
      <c r="B5" s="76">
        <v>43889</v>
      </c>
      <c r="C5" s="32" t="str">
        <f t="shared" si="0"/>
        <v>Q1</v>
      </c>
      <c r="D5" s="32" t="str">
        <f>TEXT(FEB[[#This Row],[Invoice Date]],"MMM")</f>
        <v>Feb</v>
      </c>
      <c r="E5" s="75" t="s">
        <v>15</v>
      </c>
      <c r="F5" s="75">
        <v>18</v>
      </c>
      <c r="G5" s="78">
        <v>310550.09999999998</v>
      </c>
      <c r="H5" s="78">
        <v>308900.75</v>
      </c>
      <c r="I5" s="25">
        <f>FEB[[#This Row],[Invoice Value(₦)]]-FEB[[#This Row],[Cash Received (₦)]]</f>
        <v>1649.3499999999767</v>
      </c>
      <c r="J5" s="9" t="s">
        <v>17</v>
      </c>
      <c r="K5" s="10"/>
    </row>
    <row r="6" spans="1:11" ht="29.1">
      <c r="A6" s="75">
        <v>5</v>
      </c>
      <c r="B6" s="76">
        <v>43889</v>
      </c>
      <c r="C6" s="32" t="str">
        <f t="shared" si="0"/>
        <v>Q1</v>
      </c>
      <c r="D6" s="32" t="str">
        <f>TEXT(FEB[[#This Row],[Invoice Date]],"MMM")</f>
        <v>Feb</v>
      </c>
      <c r="E6" s="75" t="s">
        <v>16</v>
      </c>
      <c r="F6" s="75">
        <v>2</v>
      </c>
      <c r="G6" s="78">
        <v>105200.5</v>
      </c>
      <c r="H6" s="75"/>
      <c r="I6" s="25">
        <f>FEB[[#This Row],[Invoice Value(₦)]]-FEB[[#This Row],[Cash Received (₦)]]</f>
        <v>105200.5</v>
      </c>
      <c r="J6" s="9" t="s">
        <v>26</v>
      </c>
      <c r="K6" s="10"/>
    </row>
    <row r="7" spans="1:11" ht="14.65" customHeight="1">
      <c r="A7" s="75">
        <v>6</v>
      </c>
      <c r="B7" s="76">
        <v>43889</v>
      </c>
      <c r="C7" s="32" t="str">
        <f t="shared" si="0"/>
        <v>Q1</v>
      </c>
      <c r="D7" s="32" t="str">
        <f>TEXT(FEB[[#This Row],[Invoice Date]],"MMM")</f>
        <v>Feb</v>
      </c>
      <c r="E7" s="75" t="s">
        <v>18</v>
      </c>
      <c r="F7" s="75">
        <v>16</v>
      </c>
      <c r="G7" s="78">
        <v>410780.25</v>
      </c>
      <c r="H7" s="78">
        <v>410780.25</v>
      </c>
      <c r="I7" s="25">
        <f>FEB[[#This Row],[Invoice Value(₦)]]-FEB[[#This Row],[Cash Received (₦)]]</f>
        <v>0</v>
      </c>
      <c r="J7" s="13" t="s">
        <v>12</v>
      </c>
      <c r="K7" s="10"/>
    </row>
    <row r="8" spans="1:11" ht="14.45">
      <c r="A8" s="75">
        <v>7</v>
      </c>
      <c r="B8" s="76">
        <v>43889</v>
      </c>
      <c r="C8" s="32" t="str">
        <f t="shared" si="0"/>
        <v>Q1</v>
      </c>
      <c r="D8" s="32" t="str">
        <f>TEXT(FEB[[#This Row],[Invoice Date]],"MMM")</f>
        <v>Feb</v>
      </c>
      <c r="E8" s="75" t="s">
        <v>20</v>
      </c>
      <c r="F8" s="75">
        <v>2</v>
      </c>
      <c r="G8" s="78">
        <v>75320.399999999994</v>
      </c>
      <c r="H8" s="78">
        <v>75320.399999999994</v>
      </c>
      <c r="I8" s="25">
        <f>FEB[[#This Row],[Invoice Value(₦)]]-FEB[[#This Row],[Cash Received (₦)]]</f>
        <v>0</v>
      </c>
      <c r="J8" s="13" t="s">
        <v>12</v>
      </c>
      <c r="K8" s="10"/>
    </row>
    <row r="9" spans="1:11" ht="14.45">
      <c r="A9" s="75">
        <v>8</v>
      </c>
      <c r="B9" s="76">
        <v>43889</v>
      </c>
      <c r="C9" s="32" t="str">
        <f t="shared" si="0"/>
        <v>Q1</v>
      </c>
      <c r="D9" s="32" t="str">
        <f>TEXT(FEB[[#This Row],[Invoice Date]],"MMM")</f>
        <v>Feb</v>
      </c>
      <c r="E9" s="75" t="s">
        <v>21</v>
      </c>
      <c r="F9" s="75">
        <v>143</v>
      </c>
      <c r="G9" s="78">
        <v>2050100.75</v>
      </c>
      <c r="H9" s="78">
        <v>2050100.75</v>
      </c>
      <c r="I9" s="25">
        <f>FEB[[#This Row],[Invoice Value(₦)]]-FEB[[#This Row],[Cash Received (₦)]]</f>
        <v>0</v>
      </c>
      <c r="J9" s="15" t="s">
        <v>12</v>
      </c>
      <c r="K9" s="10"/>
    </row>
    <row r="10" spans="1:11" ht="14.45">
      <c r="A10" s="75">
        <v>9</v>
      </c>
      <c r="B10" s="76">
        <v>43889</v>
      </c>
      <c r="C10" s="32" t="str">
        <f t="shared" si="0"/>
        <v>Q1</v>
      </c>
      <c r="D10" s="32" t="str">
        <f>TEXT(FEB[[#This Row],[Invoice Date]],"MMM")</f>
        <v>Feb</v>
      </c>
      <c r="E10" s="75" t="s">
        <v>22</v>
      </c>
      <c r="F10" s="75">
        <v>8</v>
      </c>
      <c r="G10" s="78">
        <v>295400.59999999998</v>
      </c>
      <c r="H10" s="78">
        <v>295400.59999999998</v>
      </c>
      <c r="I10" s="25">
        <f>FEB[[#This Row],[Invoice Value(₦)]]-FEB[[#This Row],[Cash Received (₦)]]</f>
        <v>0</v>
      </c>
      <c r="J10" s="12" t="s">
        <v>12</v>
      </c>
      <c r="K10" s="10"/>
    </row>
    <row r="11" spans="1:11" ht="14.45">
      <c r="A11" s="75">
        <v>10</v>
      </c>
      <c r="B11" s="76">
        <v>43889</v>
      </c>
      <c r="C11" s="32" t="str">
        <f t="shared" si="0"/>
        <v>Q1</v>
      </c>
      <c r="D11" s="32" t="str">
        <f>TEXT(FEB[[#This Row],[Invoice Date]],"MMM")</f>
        <v>Feb</v>
      </c>
      <c r="E11" s="75" t="s">
        <v>23</v>
      </c>
      <c r="F11" s="75">
        <v>0</v>
      </c>
      <c r="G11" s="75"/>
      <c r="H11" s="75"/>
      <c r="I11" s="25">
        <f>FEB[[#This Row],[Invoice Value(₦)]]-FEB[[#This Row],[Cash Received (₦)]]</f>
        <v>0</v>
      </c>
      <c r="J11" s="13"/>
      <c r="K11" s="10"/>
    </row>
    <row r="12" spans="1:11" ht="14.45">
      <c r="A12" s="75">
        <v>11</v>
      </c>
      <c r="B12" s="76">
        <v>43889</v>
      </c>
      <c r="C12" s="32" t="str">
        <f t="shared" si="0"/>
        <v>Q1</v>
      </c>
      <c r="D12" s="32" t="str">
        <f>TEXT(FEB[[#This Row],[Invoice Date]],"MMM")</f>
        <v>Feb</v>
      </c>
      <c r="E12" s="75" t="s">
        <v>24</v>
      </c>
      <c r="F12" s="75">
        <v>3</v>
      </c>
      <c r="G12" s="78">
        <v>18750.900000000001</v>
      </c>
      <c r="H12" s="78">
        <v>18750.900000000001</v>
      </c>
      <c r="I12" s="25">
        <f>FEB[[#This Row],[Invoice Value(₦)]]-FEB[[#This Row],[Cash Received (₦)]]</f>
        <v>0</v>
      </c>
      <c r="J12" s="12" t="s">
        <v>12</v>
      </c>
      <c r="K12" s="10"/>
    </row>
    <row r="13" spans="1:11" ht="18.600000000000001">
      <c r="A13" s="16"/>
      <c r="B13" s="17"/>
      <c r="C13" s="36"/>
      <c r="D13" s="36"/>
      <c r="E13" s="18" t="s">
        <v>25</v>
      </c>
      <c r="F13" s="27">
        <f>SUM(F2:F12)</f>
        <v>423</v>
      </c>
      <c r="G13" s="24">
        <f>SUM(G2:G12)</f>
        <v>20671125.050000001</v>
      </c>
      <c r="H13" s="24">
        <f>SUM(H2:H12)</f>
        <v>19812124.649999999</v>
      </c>
      <c r="I13" s="24">
        <f>SUM(I2:I12)</f>
        <v>859000.40000000072</v>
      </c>
      <c r="J13" s="19"/>
      <c r="K13" s="21"/>
    </row>
  </sheetData>
  <phoneticPr fontId="7" type="noConversion"/>
  <conditionalFormatting sqref="I2:I12">
    <cfRule type="cellIs" dxfId="165" priority="6" operator="greaterThan">
      <formula>0</formula>
    </cfRule>
  </conditionalFormatting>
  <conditionalFormatting sqref="J2:J1048576">
    <cfRule type="cellIs" dxfId="164" priority="1" operator="equal">
      <formula>"PAID BUT NOT INVOICED"</formula>
    </cfRule>
    <cfRule type="cellIs" dxfId="163" priority="2" operator="equal">
      <formula>"PART PAYMENT"</formula>
    </cfRule>
    <cfRule type="cellIs" dxfId="162" priority="3" operator="equal">
      <formula>"NOT PAID"</formula>
    </cfRule>
    <cfRule type="cellIs" dxfId="161" priority="4" operator="equal">
      <formula>"PAID"</formula>
    </cfRule>
  </conditionalFormatting>
  <dataValidations count="1">
    <dataValidation type="list" allowBlank="1" showInputMessage="1" showErrorMessage="1" sqref="J2:J12" xr:uid="{FF3CF873-C7C7-4C22-973C-C40E00DF0304}">
      <formula1>"PAID, NOT PAID, PART PAYMENT, PAID BUT NOT INVOICED, NO ORDER"</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99B7D-E23D-483F-AECB-862EF6C62B33}">
  <dimension ref="A1:K13"/>
  <sheetViews>
    <sheetView zoomScale="58" zoomScaleNormal="103" workbookViewId="0">
      <selection activeCell="G8" sqref="G8"/>
    </sheetView>
  </sheetViews>
  <sheetFormatPr defaultRowHeight="15" customHeight="1"/>
  <cols>
    <col min="2" max="4" width="14.28515625" customWidth="1"/>
    <col min="5" max="5" width="19" customWidth="1"/>
    <col min="6" max="6" width="17.7109375" customWidth="1"/>
    <col min="7" max="7" width="22.28515625" customWidth="1"/>
    <col min="8" max="8" width="19" customWidth="1"/>
    <col min="9" max="9" width="20.7109375" style="38" customWidth="1"/>
    <col min="10" max="10" width="24.42578125" customWidth="1"/>
    <col min="11" max="11" width="19.7109375" customWidth="1"/>
  </cols>
  <sheetData>
    <row r="1" spans="1:11" ht="29.1">
      <c r="A1" s="48" t="s">
        <v>0</v>
      </c>
      <c r="B1" s="49" t="s">
        <v>1</v>
      </c>
      <c r="C1" s="48" t="s">
        <v>2</v>
      </c>
      <c r="D1" s="48" t="s">
        <v>3</v>
      </c>
      <c r="E1" s="48" t="s">
        <v>4</v>
      </c>
      <c r="F1" s="48" t="s">
        <v>5</v>
      </c>
      <c r="G1" s="49" t="s">
        <v>6</v>
      </c>
      <c r="H1" s="49" t="s">
        <v>7</v>
      </c>
      <c r="I1" s="49" t="s">
        <v>8</v>
      </c>
      <c r="J1" s="48" t="s">
        <v>9</v>
      </c>
      <c r="K1" s="49" t="s">
        <v>10</v>
      </c>
    </row>
    <row r="2" spans="1:11" ht="31.9" customHeight="1">
      <c r="A2" s="5">
        <v>1</v>
      </c>
      <c r="B2" s="32">
        <v>43921</v>
      </c>
      <c r="C2" s="32" t="str">
        <f t="shared" ref="C2:C12" si="0">"Q"&amp;INT((MONTH(A2)-1)/3)+1</f>
        <v>Q1</v>
      </c>
      <c r="D2" s="32" t="str">
        <f>TEXT(MAR[[#This Row],[Invoice Date]],"MMM")</f>
        <v>Mar</v>
      </c>
      <c r="E2" s="52" t="s">
        <v>11</v>
      </c>
      <c r="F2" s="75">
        <v>12</v>
      </c>
      <c r="G2" s="78">
        <v>1120450.75</v>
      </c>
      <c r="H2" s="78">
        <v>1110320.6000000001</v>
      </c>
      <c r="I2" s="37">
        <f>MAR[[#This Row],[Invoice Value(₦)]]-MAR[[#This Row],[Cash Received (₦)]]</f>
        <v>10130.149999999907</v>
      </c>
      <c r="J2" s="9" t="s">
        <v>12</v>
      </c>
      <c r="K2" s="10"/>
    </row>
    <row r="3" spans="1:11" ht="14.45">
      <c r="A3" s="5">
        <v>2</v>
      </c>
      <c r="B3" s="32">
        <v>43921</v>
      </c>
      <c r="C3" s="32" t="str">
        <f t="shared" si="0"/>
        <v>Q1</v>
      </c>
      <c r="D3" s="32" t="str">
        <f>TEXT(MAR[[#This Row],[Invoice Date]],"MMM")</f>
        <v>Mar</v>
      </c>
      <c r="E3" s="53" t="s">
        <v>13</v>
      </c>
      <c r="F3" s="75">
        <v>3</v>
      </c>
      <c r="G3" s="78">
        <v>4520780.4000000004</v>
      </c>
      <c r="H3" s="78">
        <v>4520780.4000000004</v>
      </c>
      <c r="I3" s="37">
        <f>MAR[[#This Row],[Invoice Value(₦)]]-MAR[[#This Row],[Cash Received (₦)]]</f>
        <v>0</v>
      </c>
      <c r="J3" s="12" t="s">
        <v>12</v>
      </c>
      <c r="K3" s="10"/>
    </row>
    <row r="4" spans="1:11" ht="14.45">
      <c r="A4" s="5">
        <v>3</v>
      </c>
      <c r="B4" s="32">
        <v>43921</v>
      </c>
      <c r="C4" s="32" t="str">
        <f t="shared" si="0"/>
        <v>Q1</v>
      </c>
      <c r="D4" s="32" t="str">
        <f>TEXT(MAR[[#This Row],[Invoice Date]],"MMM")</f>
        <v>Mar</v>
      </c>
      <c r="E4" s="52" t="s">
        <v>14</v>
      </c>
      <c r="F4" s="75">
        <v>7</v>
      </c>
      <c r="G4" s="78">
        <v>55320.9</v>
      </c>
      <c r="H4" s="78">
        <v>55320.9</v>
      </c>
      <c r="I4" s="37">
        <f>MAR[[#This Row],[Invoice Value(₦)]]-MAR[[#This Row],[Cash Received (₦)]]</f>
        <v>0</v>
      </c>
      <c r="J4" s="12" t="s">
        <v>12</v>
      </c>
      <c r="K4" s="10"/>
    </row>
    <row r="5" spans="1:11" ht="29.1">
      <c r="A5" s="5">
        <v>4</v>
      </c>
      <c r="B5" s="32">
        <v>43921</v>
      </c>
      <c r="C5" s="32" t="str">
        <f t="shared" si="0"/>
        <v>Q1</v>
      </c>
      <c r="D5" s="32" t="str">
        <f>TEXT(MAR[[#This Row],[Invoice Date]],"MMM")</f>
        <v>Mar</v>
      </c>
      <c r="E5" s="53" t="s">
        <v>15</v>
      </c>
      <c r="F5" s="75">
        <v>20</v>
      </c>
      <c r="G5" s="78">
        <v>290450.25</v>
      </c>
      <c r="H5" s="78">
        <v>285900.09999999998</v>
      </c>
      <c r="I5" s="37">
        <f>MAR[[#This Row],[Invoice Value(₦)]]-MAR[[#This Row],[Cash Received (₦)]]</f>
        <v>4550.1500000000233</v>
      </c>
      <c r="J5" s="12" t="s">
        <v>17</v>
      </c>
      <c r="K5" s="10"/>
    </row>
    <row r="6" spans="1:11" ht="29.1">
      <c r="A6" s="5">
        <v>5</v>
      </c>
      <c r="B6" s="32">
        <v>43921</v>
      </c>
      <c r="C6" s="32" t="str">
        <f t="shared" si="0"/>
        <v>Q1</v>
      </c>
      <c r="D6" s="32" t="str">
        <f>TEXT(MAR[[#This Row],[Invoice Date]],"MMM")</f>
        <v>Mar</v>
      </c>
      <c r="E6" s="52" t="s">
        <v>16</v>
      </c>
      <c r="F6" s="75">
        <v>2</v>
      </c>
      <c r="G6" s="78">
        <v>48750.1</v>
      </c>
      <c r="H6" s="78">
        <v>48920</v>
      </c>
      <c r="I6" s="37">
        <f>MAR[[#This Row],[Invoice Value(₦)]]-MAR[[#This Row],[Cash Received (₦)]]</f>
        <v>-169.90000000000146</v>
      </c>
      <c r="J6" s="12" t="s">
        <v>26</v>
      </c>
      <c r="K6" s="10"/>
    </row>
    <row r="7" spans="1:11" ht="16.5" customHeight="1">
      <c r="A7" s="5">
        <v>6</v>
      </c>
      <c r="B7" s="32">
        <v>43921</v>
      </c>
      <c r="C7" s="32" t="str">
        <f t="shared" si="0"/>
        <v>Q1</v>
      </c>
      <c r="D7" s="32" t="str">
        <f>TEXT(MAR[[#This Row],[Invoice Date]],"MMM")</f>
        <v>Mar</v>
      </c>
      <c r="E7" s="53" t="s">
        <v>18</v>
      </c>
      <c r="F7" s="75">
        <v>40</v>
      </c>
      <c r="G7" s="78">
        <v>1500250.8</v>
      </c>
      <c r="H7" s="78">
        <v>1500480.25</v>
      </c>
      <c r="I7" s="37">
        <f>MAR[[#This Row],[Invoice Value(₦)]]-MAR[[#This Row],[Cash Received (₦)]]</f>
        <v>-229.44999999995343</v>
      </c>
      <c r="J7" s="12" t="s">
        <v>12</v>
      </c>
      <c r="K7" s="10" t="s">
        <v>27</v>
      </c>
    </row>
    <row r="8" spans="1:11" ht="14.45">
      <c r="A8" s="5">
        <v>7</v>
      </c>
      <c r="B8" s="32">
        <v>43921</v>
      </c>
      <c r="C8" s="32" t="str">
        <f t="shared" si="0"/>
        <v>Q1</v>
      </c>
      <c r="D8" s="32" t="str">
        <f>TEXT(MAR[[#This Row],[Invoice Date]],"MMM")</f>
        <v>Mar</v>
      </c>
      <c r="E8" s="52" t="s">
        <v>20</v>
      </c>
      <c r="F8" s="75">
        <v>0</v>
      </c>
      <c r="G8" s="75"/>
      <c r="H8" s="75"/>
      <c r="I8" s="37">
        <f>MAR[[#This Row],[Invoice Value(₦)]]-MAR[[#This Row],[Cash Received (₦)]]</f>
        <v>0</v>
      </c>
      <c r="J8" s="13" t="s">
        <v>19</v>
      </c>
      <c r="K8" s="10"/>
    </row>
    <row r="9" spans="1:11" ht="14.45">
      <c r="A9" s="5">
        <v>8</v>
      </c>
      <c r="B9" s="32">
        <v>43921</v>
      </c>
      <c r="C9" s="32" t="str">
        <f t="shared" si="0"/>
        <v>Q1</v>
      </c>
      <c r="D9" s="32" t="str">
        <f>TEXT(MAR[[#This Row],[Invoice Date]],"MMM")</f>
        <v>Mar</v>
      </c>
      <c r="E9" s="53" t="s">
        <v>21</v>
      </c>
      <c r="F9" s="75">
        <v>90</v>
      </c>
      <c r="G9" s="78">
        <v>2410320.9</v>
      </c>
      <c r="H9" s="78">
        <v>2410320.9</v>
      </c>
      <c r="I9" s="37">
        <f>MAR[[#This Row],[Invoice Value(₦)]]-MAR[[#This Row],[Cash Received (₦)]]</f>
        <v>0</v>
      </c>
      <c r="J9" s="12" t="s">
        <v>26</v>
      </c>
      <c r="K9" s="10"/>
    </row>
    <row r="10" spans="1:11" ht="14.45">
      <c r="A10" s="5">
        <v>9</v>
      </c>
      <c r="B10" s="32">
        <v>43921</v>
      </c>
      <c r="C10" s="32" t="str">
        <f t="shared" si="0"/>
        <v>Q1</v>
      </c>
      <c r="D10" s="32" t="str">
        <f>TEXT(MAR[[#This Row],[Invoice Date]],"MMM")</f>
        <v>Mar</v>
      </c>
      <c r="E10" s="52" t="s">
        <v>22</v>
      </c>
      <c r="F10" s="75">
        <v>5</v>
      </c>
      <c r="G10" s="78">
        <v>375480.6</v>
      </c>
      <c r="H10" s="78">
        <v>367120.3</v>
      </c>
      <c r="I10" s="37">
        <f>MAR[[#This Row],[Invoice Value(₦)]]-MAR[[#This Row],[Cash Received (₦)]]</f>
        <v>8360.2999999999884</v>
      </c>
      <c r="J10" s="12" t="s">
        <v>17</v>
      </c>
      <c r="K10" s="10"/>
    </row>
    <row r="11" spans="1:11" ht="14.45">
      <c r="A11" s="5">
        <v>10</v>
      </c>
      <c r="B11" s="32">
        <v>43921</v>
      </c>
      <c r="C11" s="32" t="str">
        <f t="shared" si="0"/>
        <v>Q1</v>
      </c>
      <c r="D11" s="32" t="str">
        <f>TEXT(MAR[[#This Row],[Invoice Date]],"MMM")</f>
        <v>Mar</v>
      </c>
      <c r="E11" s="53" t="s">
        <v>23</v>
      </c>
      <c r="F11" s="75">
        <v>0</v>
      </c>
      <c r="G11" s="75"/>
      <c r="H11" s="75"/>
      <c r="I11" s="37">
        <f>MAR[[#This Row],[Invoice Value(₦)]]-MAR[[#This Row],[Cash Received (₦)]]</f>
        <v>0</v>
      </c>
      <c r="J11" s="13" t="s">
        <v>19</v>
      </c>
      <c r="K11" s="10"/>
    </row>
    <row r="12" spans="1:11" ht="14.45">
      <c r="A12" s="5">
        <v>11</v>
      </c>
      <c r="B12" s="32">
        <v>43921</v>
      </c>
      <c r="C12" s="32" t="str">
        <f t="shared" si="0"/>
        <v>Q1</v>
      </c>
      <c r="D12" s="32" t="str">
        <f>TEXT(MAR[[#This Row],[Invoice Date]],"MMM")</f>
        <v>Mar</v>
      </c>
      <c r="E12" s="52" t="s">
        <v>24</v>
      </c>
      <c r="F12" s="75">
        <v>1</v>
      </c>
      <c r="G12" s="78">
        <v>75240.5</v>
      </c>
      <c r="H12" s="78">
        <v>75240.5</v>
      </c>
      <c r="I12" s="37">
        <f>MAR[[#This Row],[Invoice Value(₦)]]-MAR[[#This Row],[Cash Received (₦)]]</f>
        <v>0</v>
      </c>
      <c r="J12" s="12" t="s">
        <v>12</v>
      </c>
      <c r="K12" s="10"/>
    </row>
    <row r="13" spans="1:11" ht="18.600000000000001">
      <c r="A13" s="16"/>
      <c r="B13" s="17"/>
      <c r="C13" s="36"/>
      <c r="D13" s="36"/>
      <c r="E13" s="18" t="s">
        <v>25</v>
      </c>
      <c r="F13" s="27">
        <f>SUM(F2:F12)</f>
        <v>180</v>
      </c>
      <c r="G13" s="24">
        <f>SUM(G2:G12)</f>
        <v>10397045.199999999</v>
      </c>
      <c r="H13" s="24">
        <v>417661.14</v>
      </c>
      <c r="I13" s="24">
        <f>SUM(I2:I12)</f>
        <v>22641.249999999964</v>
      </c>
      <c r="J13" s="19"/>
      <c r="K13" s="21"/>
    </row>
  </sheetData>
  <phoneticPr fontId="7" type="noConversion"/>
  <conditionalFormatting sqref="I2:I12">
    <cfRule type="cellIs" dxfId="155" priority="6" operator="greaterThan">
      <formula>0</formula>
    </cfRule>
  </conditionalFormatting>
  <conditionalFormatting sqref="J2:J1048576">
    <cfRule type="cellIs" dxfId="154" priority="1" operator="equal">
      <formula>"PAID BUT NOT INVOICED"</formula>
    </cfRule>
    <cfRule type="cellIs" dxfId="153" priority="2" operator="equal">
      <formula>"PART PAYMENT"</formula>
    </cfRule>
    <cfRule type="cellIs" dxfId="152" priority="3" operator="equal">
      <formula>"NOT PAID"</formula>
    </cfRule>
    <cfRule type="cellIs" dxfId="151" priority="4" operator="equal">
      <formula>"PAID"</formula>
    </cfRule>
  </conditionalFormatting>
  <dataValidations count="1">
    <dataValidation type="list" allowBlank="1" showInputMessage="1" showErrorMessage="1" sqref="J2:J12" xr:uid="{4402FC8D-A329-4176-A55A-F4D4AC51A658}">
      <formula1>"PAID, NOT PAID, PART PAYMENT, PAID BUT NOT INVOICED, NO ORDER"</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4069E-A245-481D-A5B9-C7561B417BB5}">
  <dimension ref="A1:K13"/>
  <sheetViews>
    <sheetView topLeftCell="E1" zoomScale="92" workbookViewId="0">
      <selection activeCell="F2" sqref="F2:H12"/>
    </sheetView>
  </sheetViews>
  <sheetFormatPr defaultRowHeight="15" customHeight="1"/>
  <cols>
    <col min="2" max="4" width="14.28515625" customWidth="1"/>
    <col min="5" max="5" width="19" customWidth="1"/>
    <col min="6" max="6" width="11.28515625" customWidth="1"/>
    <col min="7" max="7" width="22.28515625" customWidth="1"/>
    <col min="8" max="8" width="24.140625" customWidth="1"/>
    <col min="9" max="9" width="27.140625" style="42" customWidth="1"/>
    <col min="10" max="10" width="24.42578125" customWidth="1"/>
    <col min="11" max="11" width="19.7109375" customWidth="1"/>
  </cols>
  <sheetData>
    <row r="1" spans="1:11" ht="14.45">
      <c r="A1" s="48" t="s">
        <v>0</v>
      </c>
      <c r="B1" s="49" t="s">
        <v>1</v>
      </c>
      <c r="C1" s="48" t="s">
        <v>2</v>
      </c>
      <c r="D1" s="48" t="s">
        <v>3</v>
      </c>
      <c r="E1" s="48" t="s">
        <v>4</v>
      </c>
      <c r="F1" s="49" t="s">
        <v>5</v>
      </c>
      <c r="G1" s="49" t="s">
        <v>6</v>
      </c>
      <c r="H1" s="48" t="s">
        <v>7</v>
      </c>
      <c r="I1" s="49" t="s">
        <v>8</v>
      </c>
      <c r="J1" s="48" t="s">
        <v>9</v>
      </c>
      <c r="K1" s="49" t="s">
        <v>10</v>
      </c>
    </row>
    <row r="2" spans="1:11" ht="31.9" customHeight="1">
      <c r="A2" s="5">
        <v>1</v>
      </c>
      <c r="B2" s="32">
        <v>43951</v>
      </c>
      <c r="C2" s="32" t="str">
        <f>"Q"&amp;INT((MONTH(B2)-1)/3)+1</f>
        <v>Q2</v>
      </c>
      <c r="D2" s="32" t="str">
        <f>TEXT(APR[[#This Row],[Invoice Date]],"MMM")</f>
        <v>Apr</v>
      </c>
      <c r="E2" s="52" t="s">
        <v>11</v>
      </c>
      <c r="F2" s="75">
        <v>14</v>
      </c>
      <c r="G2" s="78">
        <v>1220450.75</v>
      </c>
      <c r="H2" s="78">
        <v>1210300.6000000001</v>
      </c>
      <c r="I2" s="40">
        <f>APR[[#This Row],[Invoice Value(₦)]]-APR[[#This Row],[Cash Received (₦)]]</f>
        <v>10150.149999999907</v>
      </c>
      <c r="J2" s="9" t="s">
        <v>12</v>
      </c>
      <c r="K2" s="10"/>
    </row>
    <row r="3" spans="1:11" ht="14.45">
      <c r="A3" s="5">
        <v>2</v>
      </c>
      <c r="B3" s="32">
        <v>43951</v>
      </c>
      <c r="C3" s="32" t="str">
        <f t="shared" ref="C3:C4" si="0">"Q"&amp;INT((MONTH(B3)-1)/3)+1</f>
        <v>Q2</v>
      </c>
      <c r="D3" s="32" t="str">
        <f>TEXT(APR[[#This Row],[Invoice Date]],"MMM")</f>
        <v>Apr</v>
      </c>
      <c r="E3" s="53" t="s">
        <v>13</v>
      </c>
      <c r="F3" s="75">
        <v>7</v>
      </c>
      <c r="G3" s="78">
        <v>4520780.4000000004</v>
      </c>
      <c r="H3" s="78">
        <v>4520780.4000000004</v>
      </c>
      <c r="I3" s="37">
        <f>MAR[[#This Row],[Invoice Value(₦)]]-MAR[[#This Row],[Cash Received (₦)]]</f>
        <v>0</v>
      </c>
      <c r="J3" s="12" t="s">
        <v>12</v>
      </c>
      <c r="K3" s="10"/>
    </row>
    <row r="4" spans="1:11" ht="14.45">
      <c r="A4" s="5"/>
      <c r="B4" s="32">
        <v>43951</v>
      </c>
      <c r="C4" s="32" t="str">
        <f t="shared" si="0"/>
        <v>Q2</v>
      </c>
      <c r="D4" s="32" t="str">
        <f>TEXT(APR[[#This Row],[Invoice Date]],"MMM")</f>
        <v>Apr</v>
      </c>
      <c r="E4" s="52" t="s">
        <v>14</v>
      </c>
      <c r="F4" s="75">
        <v>3</v>
      </c>
      <c r="G4" s="78">
        <v>65320.9</v>
      </c>
      <c r="H4" s="78">
        <v>65320.9</v>
      </c>
      <c r="I4" s="37">
        <f>MAR[[#This Row],[Invoice Value(₦)]]-MAR[[#This Row],[Cash Received (₦)]]</f>
        <v>0</v>
      </c>
      <c r="J4" s="12" t="s">
        <v>12</v>
      </c>
      <c r="K4" s="10"/>
    </row>
    <row r="5" spans="1:11" ht="29.1">
      <c r="A5" s="5">
        <v>3</v>
      </c>
      <c r="B5" s="32">
        <v>43951</v>
      </c>
      <c r="C5" s="32" t="str">
        <f t="shared" ref="C5:C12" si="1">"Q"&amp;INT((MONTH(B5)-1)/3)+1</f>
        <v>Q2</v>
      </c>
      <c r="D5" s="32" t="str">
        <f>TEXT(APR[[#This Row],[Invoice Date]],"MMM")</f>
        <v>Apr</v>
      </c>
      <c r="E5" s="53" t="s">
        <v>15</v>
      </c>
      <c r="F5" s="75">
        <v>28</v>
      </c>
      <c r="G5" s="78">
        <v>320450.25</v>
      </c>
      <c r="H5" s="78">
        <v>315900.09999999998</v>
      </c>
      <c r="I5" s="37">
        <f>MAR[[#This Row],[Invoice Value(₦)]]-MAR[[#This Row],[Cash Received (₦)]]</f>
        <v>4550.1500000000233</v>
      </c>
      <c r="J5" s="12" t="s">
        <v>17</v>
      </c>
      <c r="K5" s="10"/>
    </row>
    <row r="6" spans="1:11" ht="29.1">
      <c r="A6" s="5">
        <v>4</v>
      </c>
      <c r="B6" s="32">
        <v>43951</v>
      </c>
      <c r="C6" s="32" t="str">
        <f t="shared" si="1"/>
        <v>Q2</v>
      </c>
      <c r="D6" s="32" t="str">
        <f>TEXT(APR[[#This Row],[Invoice Date]],"MMM")</f>
        <v>Apr</v>
      </c>
      <c r="E6" s="52" t="s">
        <v>16</v>
      </c>
      <c r="F6" s="75">
        <v>9</v>
      </c>
      <c r="G6" s="78">
        <v>52750.1</v>
      </c>
      <c r="H6" s="78">
        <v>52920</v>
      </c>
      <c r="I6" s="37">
        <f>MAR[[#This Row],[Invoice Value(₦)]]-MAR[[#This Row],[Cash Received (₦)]]</f>
        <v>-169.90000000000146</v>
      </c>
      <c r="J6" s="12" t="s">
        <v>26</v>
      </c>
      <c r="K6" s="10"/>
    </row>
    <row r="7" spans="1:11" ht="16.5" customHeight="1">
      <c r="A7" s="5">
        <v>5</v>
      </c>
      <c r="B7" s="32">
        <v>43951</v>
      </c>
      <c r="C7" s="32" t="str">
        <f t="shared" si="1"/>
        <v>Q2</v>
      </c>
      <c r="D7" s="32" t="str">
        <f>TEXT(APR[[#This Row],[Invoice Date]],"MMM")</f>
        <v>Apr</v>
      </c>
      <c r="E7" s="53" t="s">
        <v>18</v>
      </c>
      <c r="F7" s="75">
        <v>37</v>
      </c>
      <c r="G7" s="78">
        <v>1480250.8</v>
      </c>
      <c r="H7" s="78">
        <v>1480480.25</v>
      </c>
      <c r="I7" s="37">
        <f>MAR[[#This Row],[Invoice Value(₦)]]-MAR[[#This Row],[Cash Received (₦)]]</f>
        <v>-229.44999999995343</v>
      </c>
      <c r="J7" s="12" t="s">
        <v>26</v>
      </c>
      <c r="K7" s="10"/>
    </row>
    <row r="8" spans="1:11" ht="14.45">
      <c r="A8" s="5">
        <v>6</v>
      </c>
      <c r="B8" s="32">
        <v>43951</v>
      </c>
      <c r="C8" s="32" t="str">
        <f t="shared" si="1"/>
        <v>Q2</v>
      </c>
      <c r="D8" s="32" t="str">
        <f>TEXT(APR[[#This Row],[Invoice Date]],"MMM")</f>
        <v>Apr</v>
      </c>
      <c r="E8" s="52" t="s">
        <v>20</v>
      </c>
      <c r="F8" s="75">
        <v>0</v>
      </c>
      <c r="G8" s="75"/>
      <c r="H8" s="75"/>
      <c r="I8" s="37">
        <f>MAR[[#This Row],[Invoice Value(₦)]]-MAR[[#This Row],[Cash Received (₦)]]</f>
        <v>0</v>
      </c>
      <c r="J8" s="12" t="s">
        <v>26</v>
      </c>
      <c r="K8" s="10"/>
    </row>
    <row r="9" spans="1:11" ht="14.45">
      <c r="A9" s="5">
        <v>7</v>
      </c>
      <c r="B9" s="32">
        <v>43951</v>
      </c>
      <c r="C9" s="32" t="str">
        <f t="shared" si="1"/>
        <v>Q2</v>
      </c>
      <c r="D9" s="32" t="str">
        <f>TEXT(APR[[#This Row],[Invoice Date]],"MMM")</f>
        <v>Apr</v>
      </c>
      <c r="E9" s="53" t="s">
        <v>21</v>
      </c>
      <c r="F9" s="75">
        <v>88</v>
      </c>
      <c r="G9" s="78">
        <v>2410320.9</v>
      </c>
      <c r="H9" s="78">
        <v>2410320.9</v>
      </c>
      <c r="I9" s="37">
        <f>MAR[[#This Row],[Invoice Value(₦)]]-MAR[[#This Row],[Cash Received (₦)]]</f>
        <v>0</v>
      </c>
      <c r="J9" s="12" t="s">
        <v>26</v>
      </c>
      <c r="K9" s="10"/>
    </row>
    <row r="10" spans="1:11" ht="14.45">
      <c r="A10" s="5">
        <v>8</v>
      </c>
      <c r="B10" s="32">
        <v>43951</v>
      </c>
      <c r="C10" s="32" t="str">
        <f t="shared" si="1"/>
        <v>Q2</v>
      </c>
      <c r="D10" s="32" t="str">
        <f>TEXT(APR[[#This Row],[Invoice Date]],"MMM")</f>
        <v>Apr</v>
      </c>
      <c r="E10" s="52" t="s">
        <v>22</v>
      </c>
      <c r="F10" s="75">
        <v>5</v>
      </c>
      <c r="G10" s="78">
        <v>390480.6</v>
      </c>
      <c r="H10" s="78">
        <v>382120.3</v>
      </c>
      <c r="I10" s="37">
        <f>MAR[[#This Row],[Invoice Value(₦)]]-MAR[[#This Row],[Cash Received (₦)]]</f>
        <v>8360.2999999999884</v>
      </c>
      <c r="J10" s="12" t="s">
        <v>12</v>
      </c>
      <c r="K10" s="10"/>
    </row>
    <row r="11" spans="1:11" ht="14.45">
      <c r="A11" s="5">
        <v>9</v>
      </c>
      <c r="B11" s="32">
        <v>43951</v>
      </c>
      <c r="C11" s="32" t="str">
        <f t="shared" si="1"/>
        <v>Q2</v>
      </c>
      <c r="D11" s="32" t="str">
        <f>TEXT(APR[[#This Row],[Invoice Date]],"MMM")</f>
        <v>Apr</v>
      </c>
      <c r="E11" s="53" t="s">
        <v>23</v>
      </c>
      <c r="F11" s="75">
        <v>0</v>
      </c>
      <c r="G11" s="75"/>
      <c r="H11" s="75"/>
      <c r="I11" s="37">
        <f>MAR[[#This Row],[Invoice Value(₦)]]-MAR[[#This Row],[Cash Received (₦)]]</f>
        <v>0</v>
      </c>
      <c r="J11" s="12" t="s">
        <v>26</v>
      </c>
      <c r="K11" s="10"/>
    </row>
    <row r="12" spans="1:11" ht="14.45">
      <c r="A12" s="5">
        <v>10</v>
      </c>
      <c r="B12" s="32">
        <v>43951</v>
      </c>
      <c r="C12" s="32" t="str">
        <f t="shared" si="1"/>
        <v>Q2</v>
      </c>
      <c r="D12" s="32" t="str">
        <f>TEXT(APR[[#This Row],[Invoice Date]],"MMM")</f>
        <v>Apr</v>
      </c>
      <c r="E12" s="52" t="s">
        <v>24</v>
      </c>
      <c r="F12" s="75">
        <v>2</v>
      </c>
      <c r="G12" s="78">
        <v>85240.5</v>
      </c>
      <c r="H12" s="78">
        <v>85240.5</v>
      </c>
      <c r="I12" s="37">
        <f>MAR[[#This Row],[Invoice Value(₦)]]-MAR[[#This Row],[Cash Received (₦)]]</f>
        <v>0</v>
      </c>
      <c r="J12" s="12" t="s">
        <v>12</v>
      </c>
      <c r="K12" s="10"/>
    </row>
    <row r="13" spans="1:11" ht="18.600000000000001">
      <c r="A13" s="16"/>
      <c r="B13" s="17"/>
      <c r="C13" s="36"/>
      <c r="D13" s="36"/>
      <c r="E13" s="18" t="s">
        <v>25</v>
      </c>
      <c r="F13" s="27">
        <f>SUM(F2:F12)</f>
        <v>193</v>
      </c>
      <c r="G13" s="24">
        <f>SUM(G2:G12)</f>
        <v>10546045.199999999</v>
      </c>
      <c r="H13" s="24">
        <f>SUM(H2:H12)</f>
        <v>10523383.950000001</v>
      </c>
      <c r="I13" s="41">
        <f>SUM(I2:I12)</f>
        <v>22661.249999999964</v>
      </c>
      <c r="J13" s="19"/>
      <c r="K13" s="21"/>
    </row>
  </sheetData>
  <conditionalFormatting sqref="I2 I13">
    <cfRule type="cellIs" dxfId="142" priority="12" operator="greaterThan">
      <formula>0</formula>
    </cfRule>
  </conditionalFormatting>
  <conditionalFormatting sqref="J2 J4:J1048576">
    <cfRule type="cellIs" dxfId="141" priority="7" operator="equal">
      <formula>"PAID BUT NOT INVOICED"</formula>
    </cfRule>
    <cfRule type="cellIs" dxfId="140" priority="8" operator="equal">
      <formula>"PART PAYMENT"</formula>
    </cfRule>
    <cfRule type="cellIs" dxfId="139" priority="9" operator="equal">
      <formula>"NOT PAID"</formula>
    </cfRule>
    <cfRule type="cellIs" dxfId="138" priority="10" operator="equal">
      <formula>"PAID"</formula>
    </cfRule>
  </conditionalFormatting>
  <conditionalFormatting sqref="I3:I12">
    <cfRule type="cellIs" dxfId="137" priority="6" operator="greaterThan">
      <formula>0</formula>
    </cfRule>
  </conditionalFormatting>
  <conditionalFormatting sqref="J3">
    <cfRule type="cellIs" dxfId="136" priority="1" operator="equal">
      <formula>"PAID BUT NOT INVOICED"</formula>
    </cfRule>
    <cfRule type="cellIs" dxfId="135" priority="2" operator="equal">
      <formula>"PART PAYMENT"</formula>
    </cfRule>
    <cfRule type="cellIs" dxfId="134" priority="3" operator="equal">
      <formula>"NOT PAID"</formula>
    </cfRule>
    <cfRule type="cellIs" dxfId="133" priority="4" operator="equal">
      <formula>"PAID"</formula>
    </cfRule>
  </conditionalFormatting>
  <dataValidations count="1">
    <dataValidation type="list" allowBlank="1" showInputMessage="1" showErrorMessage="1" sqref="J2:J12" xr:uid="{AAF02473-EFDF-4F66-8A54-034DA34C59C2}">
      <formula1>"PAID, NOT PAID, PART PAYMENT, PAID BUT NOT INVOICED, NO ORDER"</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E1BE6-7366-4990-BBE0-8B2F6F35B8F1}">
  <dimension ref="A1:K13"/>
  <sheetViews>
    <sheetView zoomScale="64" zoomScaleNormal="50" workbookViewId="0">
      <selection activeCell="C3" sqref="C3"/>
    </sheetView>
  </sheetViews>
  <sheetFormatPr defaultRowHeight="15" customHeight="1"/>
  <cols>
    <col min="2" max="4" width="14.28515625" customWidth="1"/>
    <col min="5" max="5" width="19" customWidth="1"/>
    <col min="6" max="6" width="11.28515625" customWidth="1"/>
    <col min="7" max="7" width="22.28515625" customWidth="1"/>
    <col min="8" max="8" width="21.42578125" customWidth="1"/>
    <col min="9" max="9" width="21.28515625" style="38" customWidth="1"/>
    <col min="10" max="10" width="24.42578125" customWidth="1"/>
    <col min="11" max="11" width="19.7109375" customWidth="1"/>
  </cols>
  <sheetData>
    <row r="1" spans="1:11" ht="29.1">
      <c r="A1" s="48" t="s">
        <v>0</v>
      </c>
      <c r="B1" s="49" t="s">
        <v>1</v>
      </c>
      <c r="C1" s="48" t="s">
        <v>2</v>
      </c>
      <c r="D1" s="48" t="s">
        <v>3</v>
      </c>
      <c r="E1" s="48" t="s">
        <v>4</v>
      </c>
      <c r="F1" s="49" t="s">
        <v>5</v>
      </c>
      <c r="G1" s="49" t="s">
        <v>6</v>
      </c>
      <c r="H1" s="48" t="s">
        <v>7</v>
      </c>
      <c r="I1" s="49" t="s">
        <v>8</v>
      </c>
      <c r="J1" s="48" t="s">
        <v>9</v>
      </c>
      <c r="K1" s="49" t="s">
        <v>10</v>
      </c>
    </row>
    <row r="2" spans="1:11" ht="31.9" customHeight="1">
      <c r="A2" s="5">
        <v>1</v>
      </c>
      <c r="B2" s="32">
        <v>43982</v>
      </c>
      <c r="C2" s="32" t="str">
        <f>"Q"&amp;INT((MONTH(MAY[[#This Row],[Invoice Date]])-1)/3)+1</f>
        <v>Q2</v>
      </c>
      <c r="D2" s="32" t="str">
        <f>TEXT(MAY[[#This Row],[Invoice Date]],"MMM")</f>
        <v>May</v>
      </c>
      <c r="E2" s="75" t="s">
        <v>28</v>
      </c>
      <c r="F2" s="75">
        <v>12</v>
      </c>
      <c r="G2" s="78">
        <v>310450.75</v>
      </c>
      <c r="H2" s="78">
        <v>295320.59999999998</v>
      </c>
      <c r="I2" s="37">
        <f>MAY[[#This Row],[Invoice Value(₦)]]-MAY[[#This Row],[Cash Received (₦)]]</f>
        <v>15130.150000000023</v>
      </c>
      <c r="J2" s="9" t="s">
        <v>17</v>
      </c>
      <c r="K2" s="10"/>
    </row>
    <row r="3" spans="1:11" ht="14.45">
      <c r="A3" s="5">
        <v>2</v>
      </c>
      <c r="B3" s="32">
        <v>43982</v>
      </c>
      <c r="C3" s="32" t="str">
        <f>"Q"&amp;INT((MONTH(MAY[[#This Row],[Invoice Date]])-1)/3)+1</f>
        <v>Q2</v>
      </c>
      <c r="D3" s="32" t="str">
        <f>TEXT(MAY[[#This Row],[Invoice Date]],"MMM")</f>
        <v>May</v>
      </c>
      <c r="E3" s="75" t="s">
        <v>13</v>
      </c>
      <c r="F3" s="75">
        <v>4</v>
      </c>
      <c r="G3" s="78">
        <v>5450780.4000000004</v>
      </c>
      <c r="H3" s="78">
        <v>5450780.4000000004</v>
      </c>
      <c r="I3" s="37">
        <f>MAY[[#This Row],[Invoice Value(₦)]]-MAY[[#This Row],[Cash Received (₦)]]</f>
        <v>0</v>
      </c>
      <c r="J3" s="9" t="s">
        <v>12</v>
      </c>
      <c r="K3" s="10"/>
    </row>
    <row r="4" spans="1:11" ht="14.45">
      <c r="A4" s="5">
        <v>3</v>
      </c>
      <c r="B4" s="32">
        <v>43982</v>
      </c>
      <c r="C4" s="32" t="str">
        <f>"Q"&amp;INT((MONTH(MAY[[#This Row],[Invoice Date]])-1)/3)+1</f>
        <v>Q2</v>
      </c>
      <c r="D4" s="32" t="str">
        <f>TEXT(MAY[[#This Row],[Invoice Date]],"MMM")</f>
        <v>May</v>
      </c>
      <c r="E4" s="75" t="s">
        <v>14</v>
      </c>
      <c r="F4" s="75">
        <v>3</v>
      </c>
      <c r="G4" s="78">
        <v>4850.25</v>
      </c>
      <c r="H4" s="78">
        <v>4850.25</v>
      </c>
      <c r="I4" s="37">
        <f>MAY[[#This Row],[Invoice Value(₦)]]-MAY[[#This Row],[Cash Received (₦)]]</f>
        <v>0</v>
      </c>
      <c r="J4" s="9" t="s">
        <v>12</v>
      </c>
      <c r="K4" s="10"/>
    </row>
    <row r="5" spans="1:11" ht="29.1">
      <c r="A5" s="5">
        <v>4</v>
      </c>
      <c r="B5" s="32">
        <v>43982</v>
      </c>
      <c r="C5" s="32" t="str">
        <f>"Q"&amp;INT((MONTH(MAY[[#This Row],[Invoice Date]])-1)/3)+1</f>
        <v>Q2</v>
      </c>
      <c r="D5" s="32" t="str">
        <f>TEXT(MAY[[#This Row],[Invoice Date]],"MMM")</f>
        <v>May</v>
      </c>
      <c r="E5" s="75" t="s">
        <v>15</v>
      </c>
      <c r="F5" s="75">
        <v>28</v>
      </c>
      <c r="G5" s="78">
        <v>440320.9</v>
      </c>
      <c r="H5" s="75"/>
      <c r="I5" s="37">
        <f>MAY[[#This Row],[Invoice Value(₦)]]-MAY[[#This Row],[Cash Received (₦)]]</f>
        <v>440320.9</v>
      </c>
      <c r="J5" s="9" t="s">
        <v>26</v>
      </c>
      <c r="K5" s="10"/>
    </row>
    <row r="6" spans="1:11" ht="29.1">
      <c r="A6" s="5">
        <v>5</v>
      </c>
      <c r="B6" s="32">
        <v>43982</v>
      </c>
      <c r="C6" s="32" t="str">
        <f>"Q"&amp;INT((MONTH(MAY[[#This Row],[Invoice Date]])-1)/3)+1</f>
        <v>Q2</v>
      </c>
      <c r="D6" s="32" t="str">
        <f>TEXT(MAY[[#This Row],[Invoice Date]],"MMM")</f>
        <v>May</v>
      </c>
      <c r="E6" s="75" t="s">
        <v>16</v>
      </c>
      <c r="F6" s="75">
        <v>6</v>
      </c>
      <c r="G6" s="78">
        <v>215750.1</v>
      </c>
      <c r="H6" s="75"/>
      <c r="I6" s="37">
        <f>MAY[[#This Row],[Invoice Value(₦)]]-MAY[[#This Row],[Cash Received (₦)]]</f>
        <v>215750.1</v>
      </c>
      <c r="J6" s="9" t="s">
        <v>26</v>
      </c>
      <c r="K6" s="10"/>
    </row>
    <row r="7" spans="1:11" ht="16.5" customHeight="1">
      <c r="A7" s="5">
        <v>6</v>
      </c>
      <c r="B7" s="32">
        <v>43982</v>
      </c>
      <c r="C7" s="32" t="str">
        <f>"Q"&amp;INT((MONTH(MAY[[#This Row],[Invoice Date]])-1)/3)+1</f>
        <v>Q2</v>
      </c>
      <c r="D7" s="32" t="str">
        <f>TEXT(MAY[[#This Row],[Invoice Date]],"MMM")</f>
        <v>May</v>
      </c>
      <c r="E7" s="75" t="s">
        <v>18</v>
      </c>
      <c r="F7" s="75">
        <v>80</v>
      </c>
      <c r="G7" s="78">
        <v>1980450.8</v>
      </c>
      <c r="H7" s="78">
        <v>1910480.25</v>
      </c>
      <c r="I7" s="37">
        <f>MAY[[#This Row],[Invoice Value(₦)]]-MAY[[#This Row],[Cash Received (₦)]]</f>
        <v>69970.550000000047</v>
      </c>
      <c r="J7" s="9" t="s">
        <v>17</v>
      </c>
      <c r="K7" s="10"/>
    </row>
    <row r="8" spans="1:11" ht="14.45">
      <c r="A8" s="5">
        <v>7</v>
      </c>
      <c r="B8" s="32">
        <v>43982</v>
      </c>
      <c r="C8" s="32" t="str">
        <f>"Q"&amp;INT((MONTH(MAY[[#This Row],[Invoice Date]])-1)/3)+1</f>
        <v>Q2</v>
      </c>
      <c r="D8" s="32" t="str">
        <f>TEXT(MAY[[#This Row],[Invoice Date]],"MMM")</f>
        <v>May</v>
      </c>
      <c r="E8" s="75" t="s">
        <v>20</v>
      </c>
      <c r="F8" s="75">
        <v>2</v>
      </c>
      <c r="G8" s="78">
        <v>52480.6</v>
      </c>
      <c r="H8" s="78">
        <v>52480.6</v>
      </c>
      <c r="I8" s="37">
        <v>0</v>
      </c>
      <c r="J8" s="9" t="s">
        <v>12</v>
      </c>
      <c r="K8" s="10"/>
    </row>
    <row r="9" spans="1:11" ht="14.45">
      <c r="A9" s="5">
        <v>8</v>
      </c>
      <c r="B9" s="32">
        <v>43982</v>
      </c>
      <c r="C9" s="32" t="str">
        <f>"Q"&amp;INT((MONTH(MAY[[#This Row],[Invoice Date]])-1)/3)+1</f>
        <v>Q2</v>
      </c>
      <c r="D9" s="32" t="str">
        <f>TEXT(MAY[[#This Row],[Invoice Date]],"MMM")</f>
        <v>May</v>
      </c>
      <c r="E9" s="75" t="s">
        <v>21</v>
      </c>
      <c r="F9" s="75">
        <v>140</v>
      </c>
      <c r="G9" s="78">
        <v>2520320.9</v>
      </c>
      <c r="H9" s="78">
        <v>2520320.9</v>
      </c>
      <c r="I9" s="37">
        <f>MAY[[#This Row],[Invoice Value(₦)]]-MAY[[#This Row],[Cash Received (₦)]]</f>
        <v>0</v>
      </c>
      <c r="J9" s="9" t="s">
        <v>12</v>
      </c>
      <c r="K9" s="10"/>
    </row>
    <row r="10" spans="1:11" ht="14.45">
      <c r="A10" s="5">
        <v>9</v>
      </c>
      <c r="B10" s="32">
        <v>43982</v>
      </c>
      <c r="C10" s="32" t="str">
        <f>"Q"&amp;INT((MONTH(MAY[[#This Row],[Invoice Date]])-1)/3)+1</f>
        <v>Q2</v>
      </c>
      <c r="D10" s="32" t="str">
        <f>TEXT(MAY[[#This Row],[Invoice Date]],"MMM")</f>
        <v>May</v>
      </c>
      <c r="E10" s="75" t="s">
        <v>22</v>
      </c>
      <c r="F10" s="75">
        <v>11</v>
      </c>
      <c r="G10" s="78">
        <v>540480.6</v>
      </c>
      <c r="H10" s="78">
        <v>535120.30000000005</v>
      </c>
      <c r="I10" s="37">
        <f>MAY[[#This Row],[Invoice Value(₦)]]-MAY[[#This Row],[Cash Received (₦)]]</f>
        <v>5360.2999999999302</v>
      </c>
      <c r="J10" s="9" t="s">
        <v>17</v>
      </c>
      <c r="K10" s="10"/>
    </row>
    <row r="11" spans="1:11" ht="14.45">
      <c r="A11" s="5">
        <v>10</v>
      </c>
      <c r="B11" s="32">
        <v>43982</v>
      </c>
      <c r="C11" s="32" t="str">
        <f>"Q"&amp;INT((MONTH(MAY[[#This Row],[Invoice Date]])-1)/3)+1</f>
        <v>Q2</v>
      </c>
      <c r="D11" s="32" t="str">
        <f>TEXT(MAY[[#This Row],[Invoice Date]],"MMM")</f>
        <v>May</v>
      </c>
      <c r="E11" s="75" t="s">
        <v>23</v>
      </c>
      <c r="F11" s="75">
        <v>0</v>
      </c>
      <c r="G11" s="75"/>
      <c r="H11" s="75"/>
      <c r="I11" s="37">
        <f>MAY[[#This Row],[Invoice Value(₦)]]-MAY[[#This Row],[Cash Received (₦)]]</f>
        <v>0</v>
      </c>
      <c r="J11" s="9" t="s">
        <v>26</v>
      </c>
      <c r="K11" s="10"/>
    </row>
    <row r="12" spans="1:11" ht="14.45">
      <c r="A12" s="5">
        <v>11</v>
      </c>
      <c r="B12" s="32">
        <v>43982</v>
      </c>
      <c r="C12" s="32" t="str">
        <f>"Q"&amp;INT((MONTH(MAY[[#This Row],[Invoice Date]])-1)/3)+1</f>
        <v>Q2</v>
      </c>
      <c r="D12" s="32" t="str">
        <f>TEXT(MAY[[#This Row],[Invoice Date]],"MMM")</f>
        <v>May</v>
      </c>
      <c r="E12" s="75" t="s">
        <v>24</v>
      </c>
      <c r="F12" s="75">
        <v>35</v>
      </c>
      <c r="G12" s="78">
        <v>2510240.5</v>
      </c>
      <c r="H12" s="78">
        <v>2510240.5</v>
      </c>
      <c r="I12" s="37">
        <f>MAY[[#This Row],[Invoice Value(₦)]]-MAY[[#This Row],[Cash Received (₦)]]</f>
        <v>0</v>
      </c>
      <c r="J12" s="9" t="s">
        <v>12</v>
      </c>
      <c r="K12" s="10"/>
    </row>
    <row r="13" spans="1:11" ht="18.600000000000001">
      <c r="A13" s="16"/>
      <c r="B13" s="17"/>
      <c r="C13" s="36"/>
      <c r="D13" s="36"/>
      <c r="E13" s="18" t="s">
        <v>25</v>
      </c>
      <c r="F13" s="27">
        <f>SUM(F2:F12)</f>
        <v>321</v>
      </c>
      <c r="G13" s="24">
        <f>SUM(G2:G12)</f>
        <v>14026125.800000001</v>
      </c>
      <c r="H13" s="24">
        <f>SUM(H2:H12)</f>
        <v>13279593.800000001</v>
      </c>
      <c r="I13" s="24">
        <f>SUM(I2:I12)</f>
        <v>746532</v>
      </c>
      <c r="J13" s="19"/>
      <c r="K13" s="21"/>
    </row>
  </sheetData>
  <conditionalFormatting sqref="I2:I12">
    <cfRule type="cellIs" dxfId="124" priority="6" operator="greaterThan">
      <formula>0</formula>
    </cfRule>
  </conditionalFormatting>
  <conditionalFormatting sqref="J2:J1048576">
    <cfRule type="cellIs" dxfId="123" priority="1" operator="equal">
      <formula>"PAID BUT NOT INVOICED"</formula>
    </cfRule>
    <cfRule type="cellIs" dxfId="122" priority="2" operator="equal">
      <formula>"PART PAYMENT"</formula>
    </cfRule>
    <cfRule type="cellIs" dxfId="121" priority="3" operator="equal">
      <formula>"NOT PAID"</formula>
    </cfRule>
    <cfRule type="cellIs" dxfId="120" priority="4" operator="equal">
      <formula>"PAID"</formula>
    </cfRule>
  </conditionalFormatting>
  <dataValidations count="1">
    <dataValidation type="list" allowBlank="1" showInputMessage="1" showErrorMessage="1" sqref="J2:J12" xr:uid="{081BC509-9621-437F-B5D7-6D6EC47D3F96}">
      <formula1>"PAID, NOT PAID, PART PAYMENT, PAID BUT NOT INVOICED, NO ORDER"</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63A2D-00BE-4D99-9563-B7F606F82EB9}">
  <dimension ref="A1:K13"/>
  <sheetViews>
    <sheetView zoomScale="92" workbookViewId="0">
      <selection activeCell="F2" sqref="F2:H12"/>
    </sheetView>
  </sheetViews>
  <sheetFormatPr defaultRowHeight="15" customHeight="1"/>
  <cols>
    <col min="2" max="4" width="14.28515625" customWidth="1"/>
    <col min="5" max="5" width="20.7109375" customWidth="1"/>
    <col min="6" max="6" width="11.28515625" customWidth="1"/>
    <col min="7" max="7" width="22.28515625" customWidth="1"/>
    <col min="8" max="8" width="21.7109375" customWidth="1"/>
    <col min="9" max="9" width="21.28515625" style="38" customWidth="1"/>
    <col min="10" max="10" width="24.42578125" customWidth="1"/>
    <col min="11" max="11" width="19.7109375" customWidth="1"/>
  </cols>
  <sheetData>
    <row r="1" spans="1:11" ht="29.1">
      <c r="A1" s="48" t="s">
        <v>0</v>
      </c>
      <c r="B1" s="49" t="s">
        <v>1</v>
      </c>
      <c r="C1" s="48" t="s">
        <v>2</v>
      </c>
      <c r="D1" s="48" t="s">
        <v>3</v>
      </c>
      <c r="E1" s="48" t="s">
        <v>4</v>
      </c>
      <c r="F1" s="49" t="s">
        <v>5</v>
      </c>
      <c r="G1" s="49" t="s">
        <v>6</v>
      </c>
      <c r="H1" s="48" t="s">
        <v>7</v>
      </c>
      <c r="I1" s="49" t="s">
        <v>8</v>
      </c>
      <c r="J1" s="48" t="s">
        <v>9</v>
      </c>
      <c r="K1" s="49" t="s">
        <v>10</v>
      </c>
    </row>
    <row r="2" spans="1:11" ht="31.9" customHeight="1">
      <c r="A2" s="5">
        <v>1</v>
      </c>
      <c r="B2" s="32">
        <v>44012</v>
      </c>
      <c r="C2" s="32" t="str">
        <f>"Q"&amp;INT((MONTH(JUN[[#This Row],[Invoice Date]])-1)/3)+1</f>
        <v>Q2</v>
      </c>
      <c r="D2" s="32" t="str">
        <f>TEXT(JUN[[#This Row],[Invoice Date]],"MMM")</f>
        <v>Jun</v>
      </c>
      <c r="E2" s="50" t="s">
        <v>11</v>
      </c>
      <c r="F2" s="75">
        <v>5</v>
      </c>
      <c r="G2" s="78">
        <v>92450.75</v>
      </c>
      <c r="H2" s="78">
        <v>88320.6</v>
      </c>
      <c r="I2" s="37">
        <f>JUN[[#This Row],[Invoice Value(₦)]]-JUN[[#This Row],[Cash Received (₦)]]</f>
        <v>4130.1499999999942</v>
      </c>
      <c r="J2" s="9"/>
      <c r="K2" s="10"/>
    </row>
    <row r="3" spans="1:11" ht="14.45">
      <c r="A3" s="5">
        <v>2</v>
      </c>
      <c r="B3" s="32">
        <v>44012</v>
      </c>
      <c r="C3" s="32" t="str">
        <f>"Q"&amp;INT((MONTH(JUN[[#This Row],[Invoice Date]])-1)/3)+1</f>
        <v>Q2</v>
      </c>
      <c r="D3" s="32" t="str">
        <f>TEXT(JUN[[#This Row],[Invoice Date]],"MMM")</f>
        <v>Jun</v>
      </c>
      <c r="E3" s="51" t="s">
        <v>13</v>
      </c>
      <c r="F3" s="75">
        <v>8</v>
      </c>
      <c r="G3" s="78">
        <v>9120780.4000000004</v>
      </c>
      <c r="H3" s="78">
        <v>9120780.4000000004</v>
      </c>
      <c r="I3" s="37">
        <f>JUN[[#This Row],[Invoice Value(₦)]]-JUN[[#This Row],[Cash Received (₦)]]</f>
        <v>0</v>
      </c>
      <c r="J3" s="13" t="s">
        <v>12</v>
      </c>
      <c r="K3" s="10"/>
    </row>
    <row r="4" spans="1:11" ht="14.45">
      <c r="A4" s="5">
        <v>3</v>
      </c>
      <c r="B4" s="32">
        <v>44012</v>
      </c>
      <c r="C4" s="32" t="str">
        <f>"Q"&amp;INT((MONTH(JUN[[#This Row],[Invoice Date]])-1)/3)+1</f>
        <v>Q2</v>
      </c>
      <c r="D4" s="32" t="str">
        <f>TEXT(JUN[[#This Row],[Invoice Date]],"MMM")</f>
        <v>Jun</v>
      </c>
      <c r="E4" s="50" t="s">
        <v>14</v>
      </c>
      <c r="F4" s="75">
        <v>2</v>
      </c>
      <c r="G4" s="78">
        <v>18450.25</v>
      </c>
      <c r="H4" s="75"/>
      <c r="I4" s="37">
        <f>JUN[[#This Row],[Invoice Value(₦)]]-JUN[[#This Row],[Cash Received (₦)]]</f>
        <v>18450.25</v>
      </c>
      <c r="J4" s="9"/>
      <c r="K4" s="10"/>
    </row>
    <row r="5" spans="1:11" ht="14.45">
      <c r="A5" s="5">
        <v>4</v>
      </c>
      <c r="B5" s="32">
        <v>44012</v>
      </c>
      <c r="C5" s="32" t="str">
        <f>"Q"&amp;INT((MONTH(JUN[[#This Row],[Invoice Date]])-1)/3)+1</f>
        <v>Q2</v>
      </c>
      <c r="D5" s="32" t="str">
        <f>TEXT(JUN[[#This Row],[Invoice Date]],"MMM")</f>
        <v>Jun</v>
      </c>
      <c r="E5" s="51" t="s">
        <v>15</v>
      </c>
      <c r="F5" s="75">
        <v>35</v>
      </c>
      <c r="G5" s="78">
        <v>340320.9</v>
      </c>
      <c r="H5" s="78">
        <v>312900.09999999998</v>
      </c>
      <c r="I5" s="37">
        <f>JUN[[#This Row],[Invoice Value(₦)]]-JUN[[#This Row],[Cash Received (₦)]]</f>
        <v>27420.800000000047</v>
      </c>
      <c r="J5" s="9"/>
      <c r="K5" s="10"/>
    </row>
    <row r="6" spans="1:11" ht="14.45">
      <c r="A6" s="5">
        <v>5</v>
      </c>
      <c r="B6" s="32">
        <v>44012</v>
      </c>
      <c r="C6" s="32" t="str">
        <f>"Q"&amp;INT((MONTH(JUN[[#This Row],[Invoice Date]])-1)/3)+1</f>
        <v>Q2</v>
      </c>
      <c r="D6" s="32" t="str">
        <f>TEXT(JUN[[#This Row],[Invoice Date]],"MMM")</f>
        <v>Jun</v>
      </c>
      <c r="E6" s="50" t="s">
        <v>16</v>
      </c>
      <c r="F6" s="75">
        <v>20</v>
      </c>
      <c r="G6" s="78">
        <v>395750.1</v>
      </c>
      <c r="H6" s="78">
        <v>395750.1</v>
      </c>
      <c r="I6" s="37">
        <f>JUN[[#This Row],[Invoice Value(₦)]]-JUN[[#This Row],[Cash Received (₦)]]</f>
        <v>0</v>
      </c>
      <c r="J6" s="9" t="s">
        <v>12</v>
      </c>
      <c r="K6" s="10"/>
    </row>
    <row r="7" spans="1:11" ht="16.5" customHeight="1">
      <c r="A7" s="5">
        <v>6</v>
      </c>
      <c r="B7" s="32">
        <v>44012</v>
      </c>
      <c r="C7" s="32" t="str">
        <f>"Q"&amp;INT((MONTH(JUN[[#This Row],[Invoice Date]])-1)/3)+1</f>
        <v>Q2</v>
      </c>
      <c r="D7" s="32" t="str">
        <f>TEXT(JUN[[#This Row],[Invoice Date]],"MMM")</f>
        <v>Jun</v>
      </c>
      <c r="E7" s="51" t="s">
        <v>18</v>
      </c>
      <c r="F7" s="75">
        <v>90</v>
      </c>
      <c r="G7" s="78">
        <v>3020480.8</v>
      </c>
      <c r="H7" s="78">
        <v>3060520.25</v>
      </c>
      <c r="I7" s="37">
        <f>JUN[[#This Row],[Invoice Value(₦)]]-JUN[[#This Row],[Cash Received (₦)]]</f>
        <v>-40039.450000000186</v>
      </c>
      <c r="J7" s="13" t="s">
        <v>12</v>
      </c>
      <c r="K7" s="10"/>
    </row>
    <row r="8" spans="1:11" ht="14.45">
      <c r="A8" s="5">
        <v>7</v>
      </c>
      <c r="B8" s="32">
        <v>44012</v>
      </c>
      <c r="C8" s="32" t="str">
        <f>"Q"&amp;INT((MONTH(JUN[[#This Row],[Invoice Date]])-1)/3)+1</f>
        <v>Q2</v>
      </c>
      <c r="D8" s="32" t="str">
        <f>TEXT(JUN[[#This Row],[Invoice Date]],"MMM")</f>
        <v>Jun</v>
      </c>
      <c r="E8" s="50" t="s">
        <v>20</v>
      </c>
      <c r="F8" s="75"/>
      <c r="G8" s="75"/>
      <c r="H8" s="75"/>
      <c r="I8" s="37">
        <v>0</v>
      </c>
      <c r="J8" s="13"/>
      <c r="K8" s="10"/>
    </row>
    <row r="9" spans="1:11" ht="14.45">
      <c r="A9" s="5">
        <v>8</v>
      </c>
      <c r="B9" s="32">
        <v>44012</v>
      </c>
      <c r="C9" s="32" t="str">
        <f>"Q"&amp;INT((MONTH(JUN[[#This Row],[Invoice Date]])-1)/3)+1</f>
        <v>Q2</v>
      </c>
      <c r="D9" s="32" t="str">
        <f>TEXT(JUN[[#This Row],[Invoice Date]],"MMM")</f>
        <v>Jun</v>
      </c>
      <c r="E9" s="51" t="s">
        <v>21</v>
      </c>
      <c r="F9" s="75">
        <v>130</v>
      </c>
      <c r="G9" s="78">
        <v>1710320.9</v>
      </c>
      <c r="H9" s="78">
        <v>1690320.9</v>
      </c>
      <c r="I9" s="37">
        <f>JUN[[#This Row],[Invoice Value(₦)]]-JUN[[#This Row],[Cash Received (₦)]]</f>
        <v>20000</v>
      </c>
      <c r="J9" s="15" t="s">
        <v>17</v>
      </c>
      <c r="K9" s="10"/>
    </row>
    <row r="10" spans="1:11" ht="14.45">
      <c r="A10" s="5">
        <v>9</v>
      </c>
      <c r="B10" s="32">
        <v>44012</v>
      </c>
      <c r="C10" s="32" t="str">
        <f>"Q"&amp;INT((MONTH(JUN[[#This Row],[Invoice Date]])-1)/3)+1</f>
        <v>Q2</v>
      </c>
      <c r="D10" s="32" t="str">
        <f>TEXT(JUN[[#This Row],[Invoice Date]],"MMM")</f>
        <v>Jun</v>
      </c>
      <c r="E10" s="50" t="s">
        <v>22</v>
      </c>
      <c r="F10" s="75">
        <v>4</v>
      </c>
      <c r="G10" s="78">
        <v>88480.6</v>
      </c>
      <c r="H10" s="78">
        <v>88480.6</v>
      </c>
      <c r="I10" s="37">
        <f>JUN[[#This Row],[Invoice Value(₦)]]-JUN[[#This Row],[Cash Received (₦)]]</f>
        <v>0</v>
      </c>
      <c r="J10" s="12" t="s">
        <v>12</v>
      </c>
      <c r="K10" s="10"/>
    </row>
    <row r="11" spans="1:11" ht="14.45">
      <c r="A11" s="5">
        <v>10</v>
      </c>
      <c r="B11" s="32">
        <v>44012</v>
      </c>
      <c r="C11" s="32" t="str">
        <f>"Q"&amp;INT((MONTH(JUN[[#This Row],[Invoice Date]])-1)/3)+1</f>
        <v>Q2</v>
      </c>
      <c r="D11" s="32" t="str">
        <f>TEXT(JUN[[#This Row],[Invoice Date]],"MMM")</f>
        <v>Jun</v>
      </c>
      <c r="E11" s="51" t="s">
        <v>23</v>
      </c>
      <c r="F11" s="75">
        <v>0</v>
      </c>
      <c r="G11" s="75"/>
      <c r="H11" s="75"/>
      <c r="I11" s="37">
        <v>0</v>
      </c>
      <c r="J11" s="13" t="s">
        <v>26</v>
      </c>
      <c r="K11" s="10"/>
    </row>
    <row r="12" spans="1:11" ht="14.45">
      <c r="A12" s="5">
        <v>11</v>
      </c>
      <c r="B12" s="32">
        <v>44012</v>
      </c>
      <c r="C12" s="32" t="str">
        <f>"Q"&amp;INT((MONTH(JUN[[#This Row],[Invoice Date]])-1)/3)+1</f>
        <v>Q2</v>
      </c>
      <c r="D12" s="32" t="str">
        <f>TEXT(JUN[[#This Row],[Invoice Date]],"MMM")</f>
        <v>Jun</v>
      </c>
      <c r="E12" s="50" t="s">
        <v>24</v>
      </c>
      <c r="F12" s="75">
        <v>12</v>
      </c>
      <c r="G12" s="78">
        <v>650480.6</v>
      </c>
      <c r="H12" s="78">
        <v>645120.30000000005</v>
      </c>
      <c r="I12" s="37">
        <f>JUN[[#This Row],[Invoice Value(₦)]]-JUN[[#This Row],[Cash Received (₦)]]</f>
        <v>5360.2999999999302</v>
      </c>
      <c r="J12" s="12" t="s">
        <v>12</v>
      </c>
      <c r="K12" s="10"/>
    </row>
    <row r="13" spans="1:11" ht="18.600000000000001">
      <c r="A13" s="16"/>
      <c r="B13" s="17"/>
      <c r="C13" s="36"/>
      <c r="D13" s="36"/>
      <c r="E13" s="18" t="s">
        <v>25</v>
      </c>
      <c r="F13" s="27"/>
      <c r="G13" s="24">
        <f>SUM(G2:G12)</f>
        <v>15437515.299999999</v>
      </c>
      <c r="H13" s="24">
        <f>SUM(H2:H12)</f>
        <v>15402193.25</v>
      </c>
      <c r="I13" s="24">
        <f>SUM(I2:I12)</f>
        <v>35322.049999999785</v>
      </c>
      <c r="J13" s="19"/>
      <c r="K13" s="21"/>
    </row>
  </sheetData>
  <conditionalFormatting sqref="I2:I12">
    <cfRule type="cellIs" dxfId="112" priority="6" operator="greaterThan">
      <formula>0</formula>
    </cfRule>
  </conditionalFormatting>
  <conditionalFormatting sqref="J2:J1048576">
    <cfRule type="cellIs" dxfId="111" priority="1" operator="equal">
      <formula>"PAID BUT NOT INVOICED"</formula>
    </cfRule>
    <cfRule type="cellIs" dxfId="110" priority="2" operator="equal">
      <formula>"PART PAYMENT"</formula>
    </cfRule>
    <cfRule type="cellIs" dxfId="109" priority="3" operator="equal">
      <formula>"NOT PAID"</formula>
    </cfRule>
    <cfRule type="cellIs" dxfId="108" priority="4" operator="equal">
      <formula>"PAID"</formula>
    </cfRule>
  </conditionalFormatting>
  <dataValidations count="1">
    <dataValidation type="list" allowBlank="1" showInputMessage="1" showErrorMessage="1" sqref="J2:J12" xr:uid="{18A7B169-F676-4459-80C6-B36AC63747FE}">
      <formula1>"PAID, NOT PAID, PART PAYMENT, PAID BUT NOT INVOICED, NO ORDER"</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F152D-6381-4BFE-B897-1EF08A04696C}">
  <dimension ref="A1:K13"/>
  <sheetViews>
    <sheetView topLeftCell="D1" zoomScale="92" workbookViewId="0">
      <selection activeCell="G6" sqref="G6"/>
    </sheetView>
  </sheetViews>
  <sheetFormatPr defaultRowHeight="15" customHeight="1"/>
  <cols>
    <col min="2" max="3" width="14.28515625" customWidth="1"/>
    <col min="4" max="4" width="11.140625" customWidth="1"/>
    <col min="5" max="5" width="21.7109375" customWidth="1"/>
    <col min="6" max="6" width="11.28515625" customWidth="1"/>
    <col min="7" max="7" width="22.28515625" customWidth="1"/>
    <col min="8" max="8" width="21.42578125" customWidth="1"/>
    <col min="9" max="9" width="21.28515625" style="38" customWidth="1"/>
    <col min="10" max="10" width="24.42578125" customWidth="1"/>
    <col min="11" max="11" width="19.7109375" customWidth="1"/>
  </cols>
  <sheetData>
    <row r="1" spans="1:11" ht="29.1">
      <c r="A1" s="48" t="s">
        <v>0</v>
      </c>
      <c r="B1" s="49" t="s">
        <v>1</v>
      </c>
      <c r="C1" s="48" t="s">
        <v>2</v>
      </c>
      <c r="D1" s="48" t="s">
        <v>3</v>
      </c>
      <c r="E1" s="48" t="s">
        <v>4</v>
      </c>
      <c r="F1" s="49" t="s">
        <v>5</v>
      </c>
      <c r="G1" s="49" t="s">
        <v>6</v>
      </c>
      <c r="H1" s="48" t="s">
        <v>7</v>
      </c>
      <c r="I1" s="49" t="s">
        <v>8</v>
      </c>
      <c r="J1" s="48" t="s">
        <v>9</v>
      </c>
      <c r="K1" s="49" t="s">
        <v>10</v>
      </c>
    </row>
    <row r="2" spans="1:11" ht="31.9" customHeight="1">
      <c r="A2" s="5">
        <v>1</v>
      </c>
      <c r="B2" s="32">
        <v>44043</v>
      </c>
      <c r="C2" s="32" t="str">
        <f>"Q"&amp;INT((MONTH(B2)-1)/3)+1</f>
        <v>Q3</v>
      </c>
      <c r="D2" s="32" t="str">
        <f>TEXT(JUL[[#This Row],[Invoice Date]],"MMM")</f>
        <v>Jul</v>
      </c>
      <c r="E2" s="50" t="s">
        <v>11</v>
      </c>
      <c r="F2" s="75">
        <v>7</v>
      </c>
      <c r="G2" s="78">
        <v>350480.5</v>
      </c>
      <c r="H2" s="75"/>
      <c r="I2" s="37">
        <f>JUL[[#This Row],[Invoice Value(₦)]]-JUL[[#This Row],[Cash Received (₦)]]</f>
        <v>350480.5</v>
      </c>
      <c r="J2" s="9" t="s">
        <v>26</v>
      </c>
      <c r="K2" s="10"/>
    </row>
    <row r="3" spans="1:11" ht="14.45">
      <c r="A3" s="5">
        <v>2</v>
      </c>
      <c r="B3" s="32">
        <v>44043</v>
      </c>
      <c r="C3" s="32" t="str">
        <f t="shared" ref="C3:C12" si="0">"Q"&amp;INT((MONTH(B3)-1)/3)+1</f>
        <v>Q3</v>
      </c>
      <c r="D3" s="32" t="str">
        <f>TEXT(JUL[[#This Row],[Invoice Date]],"MMM")</f>
        <v>Jul</v>
      </c>
      <c r="E3" s="51" t="s">
        <v>13</v>
      </c>
      <c r="F3" s="75">
        <v>5</v>
      </c>
      <c r="G3" s="78">
        <v>3050320.75</v>
      </c>
      <c r="H3" s="78">
        <v>3050320.75</v>
      </c>
      <c r="I3" s="37">
        <f>JUL[[#This Row],[Invoice Value(₦)]]-JUL[[#This Row],[Cash Received (₦)]]</f>
        <v>0</v>
      </c>
      <c r="J3" s="9" t="s">
        <v>12</v>
      </c>
      <c r="K3" s="10"/>
    </row>
    <row r="4" spans="1:11" ht="14.45">
      <c r="A4" s="5">
        <v>3</v>
      </c>
      <c r="B4" s="32">
        <v>44043</v>
      </c>
      <c r="C4" s="32" t="str">
        <f t="shared" si="0"/>
        <v>Q3</v>
      </c>
      <c r="D4" s="32" t="str">
        <f>TEXT(JUL[[#This Row],[Invoice Date]],"MMM")</f>
        <v>Jul</v>
      </c>
      <c r="E4" s="50" t="s">
        <v>14</v>
      </c>
      <c r="F4" s="75">
        <v>0</v>
      </c>
      <c r="G4" s="75"/>
      <c r="H4" s="75"/>
      <c r="I4" s="37">
        <f>JUL[[#This Row],[Invoice Value(₦)]]-JUL[[#This Row],[Cash Received (₦)]]</f>
        <v>0</v>
      </c>
      <c r="J4" s="9" t="s">
        <v>19</v>
      </c>
      <c r="K4" s="10"/>
    </row>
    <row r="5" spans="1:11" ht="14.45">
      <c r="A5" s="5">
        <v>4</v>
      </c>
      <c r="B5" s="32">
        <v>44043</v>
      </c>
      <c r="C5" s="32" t="str">
        <f t="shared" si="0"/>
        <v>Q3</v>
      </c>
      <c r="D5" s="32" t="str">
        <f>TEXT(JUL[[#This Row],[Invoice Date]],"MMM")</f>
        <v>Jul</v>
      </c>
      <c r="E5" s="51" t="s">
        <v>15</v>
      </c>
      <c r="F5" s="75">
        <v>32</v>
      </c>
      <c r="G5" s="78">
        <v>820450.9</v>
      </c>
      <c r="H5" s="78">
        <v>55120.4</v>
      </c>
      <c r="I5" s="37">
        <f>JUL[[#This Row],[Invoice Value(₦)]]-JUL[[#This Row],[Cash Received (₦)]]</f>
        <v>765330.5</v>
      </c>
      <c r="J5" s="9" t="s">
        <v>26</v>
      </c>
      <c r="K5" s="10"/>
    </row>
    <row r="6" spans="1:11" ht="14.45">
      <c r="A6" s="5">
        <v>5</v>
      </c>
      <c r="B6" s="32">
        <v>44043</v>
      </c>
      <c r="C6" s="32" t="str">
        <f t="shared" si="0"/>
        <v>Q3</v>
      </c>
      <c r="D6" s="32" t="str">
        <f>TEXT(JUL[[#This Row],[Invoice Date]],"MMM")</f>
        <v>Jul</v>
      </c>
      <c r="E6" s="50" t="s">
        <v>16</v>
      </c>
      <c r="F6" s="75">
        <v>10</v>
      </c>
      <c r="G6" s="78">
        <v>295480.59999999998</v>
      </c>
      <c r="H6" s="78">
        <v>295480.59999999998</v>
      </c>
      <c r="I6" s="37">
        <f>JUL[[#This Row],[Invoice Value(₦)]]-JUL[[#This Row],[Cash Received (₦)]]</f>
        <v>0</v>
      </c>
      <c r="J6" s="9" t="s">
        <v>12</v>
      </c>
      <c r="K6" s="10"/>
    </row>
    <row r="7" spans="1:11" ht="16.5" customHeight="1">
      <c r="A7" s="5">
        <v>6</v>
      </c>
      <c r="B7" s="32">
        <v>44043</v>
      </c>
      <c r="C7" s="32" t="str">
        <f t="shared" si="0"/>
        <v>Q3</v>
      </c>
      <c r="D7" s="32" t="str">
        <f>TEXT(JUL[[#This Row],[Invoice Date]],"MMM")</f>
        <v>Jul</v>
      </c>
      <c r="E7" s="51" t="s">
        <v>18</v>
      </c>
      <c r="F7" s="75">
        <v>60</v>
      </c>
      <c r="G7" s="78">
        <v>1450250.8</v>
      </c>
      <c r="H7" s="78">
        <v>1540480.9</v>
      </c>
      <c r="I7" s="37">
        <f>JUL[[#This Row],[Invoice Value(₦)]]-JUL[[#This Row],[Cash Received (₦)]]</f>
        <v>-90230.09999999986</v>
      </c>
      <c r="J7" s="9" t="s">
        <v>12</v>
      </c>
      <c r="K7" s="10"/>
    </row>
    <row r="8" spans="1:11" ht="14.45">
      <c r="A8" s="5">
        <v>7</v>
      </c>
      <c r="B8" s="32">
        <v>44043</v>
      </c>
      <c r="C8" s="32" t="str">
        <f t="shared" si="0"/>
        <v>Q3</v>
      </c>
      <c r="D8" s="32" t="str">
        <f>TEXT(JUL[[#This Row],[Invoice Date]],"MMM")</f>
        <v>Jul</v>
      </c>
      <c r="E8" s="50" t="s">
        <v>20</v>
      </c>
      <c r="F8" s="75"/>
      <c r="G8" s="75"/>
      <c r="H8" s="75"/>
      <c r="I8" s="37">
        <v>0</v>
      </c>
      <c r="J8" s="9" t="s">
        <v>26</v>
      </c>
      <c r="K8" s="10"/>
    </row>
    <row r="9" spans="1:11" ht="14.45">
      <c r="A9" s="5">
        <v>8</v>
      </c>
      <c r="B9" s="32">
        <v>44043</v>
      </c>
      <c r="C9" s="32" t="str">
        <f t="shared" si="0"/>
        <v>Q3</v>
      </c>
      <c r="D9" s="32" t="str">
        <f>TEXT(JUL[[#This Row],[Invoice Date]],"MMM")</f>
        <v>Jul</v>
      </c>
      <c r="E9" s="51" t="s">
        <v>21</v>
      </c>
      <c r="F9" s="75">
        <v>110</v>
      </c>
      <c r="G9" s="78">
        <v>1250320.75</v>
      </c>
      <c r="H9" s="78">
        <v>1220450.5</v>
      </c>
      <c r="I9" s="37">
        <f>JUL[[#This Row],[Invoice Value(₦)]]-JUL[[#This Row],[Cash Received (₦)]]</f>
        <v>29870.25</v>
      </c>
      <c r="J9" s="9" t="s">
        <v>17</v>
      </c>
      <c r="K9" s="10"/>
    </row>
    <row r="10" spans="1:11" ht="14.45">
      <c r="A10" s="5">
        <v>9</v>
      </c>
      <c r="B10" s="32">
        <v>44043</v>
      </c>
      <c r="C10" s="32" t="str">
        <f t="shared" si="0"/>
        <v>Q3</v>
      </c>
      <c r="D10" s="32" t="str">
        <f>TEXT(JUL[[#This Row],[Invoice Date]],"MMM")</f>
        <v>Jul</v>
      </c>
      <c r="E10" s="50" t="s">
        <v>22</v>
      </c>
      <c r="F10" s="75">
        <v>15</v>
      </c>
      <c r="G10" s="78">
        <v>650480.6</v>
      </c>
      <c r="H10" s="78">
        <v>530320.25</v>
      </c>
      <c r="I10" s="37">
        <f>JUL[[#This Row],[Invoice Value(₦)]]-JUL[[#This Row],[Cash Received (₦)]]</f>
        <v>120160.34999999998</v>
      </c>
      <c r="J10" s="9" t="s">
        <v>17</v>
      </c>
      <c r="K10" s="10"/>
    </row>
    <row r="11" spans="1:11" ht="14.45">
      <c r="A11" s="5">
        <v>10</v>
      </c>
      <c r="B11" s="32">
        <v>44043</v>
      </c>
      <c r="C11" s="32" t="str">
        <f t="shared" si="0"/>
        <v>Q3</v>
      </c>
      <c r="D11" s="32" t="str">
        <f>TEXT(JUL[[#This Row],[Invoice Date]],"MMM")</f>
        <v>Jul</v>
      </c>
      <c r="E11" s="51" t="s">
        <v>23</v>
      </c>
      <c r="F11" s="75"/>
      <c r="G11" s="75"/>
      <c r="H11" s="75"/>
      <c r="I11" s="37">
        <f>JUL[[#This Row],[Invoice Value(₦)]]-JUL[[#This Row],[Cash Received (₦)]]</f>
        <v>0</v>
      </c>
      <c r="J11" s="9" t="s">
        <v>26</v>
      </c>
      <c r="K11" s="10"/>
    </row>
    <row r="12" spans="1:11" ht="14.45">
      <c r="A12" s="5">
        <v>11</v>
      </c>
      <c r="B12" s="32">
        <v>44043</v>
      </c>
      <c r="C12" s="32" t="str">
        <f t="shared" si="0"/>
        <v>Q3</v>
      </c>
      <c r="D12" s="32" t="str">
        <f>TEXT(JUL[[#This Row],[Invoice Date]],"MMM")</f>
        <v>Jul</v>
      </c>
      <c r="E12" s="50" t="s">
        <v>24</v>
      </c>
      <c r="F12" s="75">
        <v>25</v>
      </c>
      <c r="G12" s="78">
        <v>1900480.6</v>
      </c>
      <c r="H12" s="78">
        <v>1900480.6</v>
      </c>
      <c r="I12" s="37">
        <f>JUL[[#This Row],[Invoice Value(₦)]]-JUL[[#This Row],[Cash Received (₦)]]</f>
        <v>0</v>
      </c>
      <c r="J12" s="9" t="s">
        <v>12</v>
      </c>
      <c r="K12" s="10"/>
    </row>
    <row r="13" spans="1:11" ht="18.600000000000001">
      <c r="A13" s="16"/>
      <c r="B13" s="17"/>
      <c r="C13" s="36"/>
      <c r="D13" s="36"/>
      <c r="E13" s="18" t="s">
        <v>25</v>
      </c>
      <c r="F13" s="27">
        <f>SUM(F2:F12)</f>
        <v>264</v>
      </c>
      <c r="G13" s="24">
        <f>SUM(G2:G12)</f>
        <v>9768265.5</v>
      </c>
      <c r="H13" s="24">
        <f>SUM(H2:H12)</f>
        <v>8592654</v>
      </c>
      <c r="I13" s="24">
        <f>SUM(I2:I12)</f>
        <v>1175611.5</v>
      </c>
      <c r="J13" s="19"/>
      <c r="K13" s="21"/>
    </row>
  </sheetData>
  <conditionalFormatting sqref="I2:I12">
    <cfRule type="cellIs" dxfId="99" priority="6" operator="greaterThan">
      <formula>0</formula>
    </cfRule>
  </conditionalFormatting>
  <conditionalFormatting sqref="J2:J1048576">
    <cfRule type="cellIs" dxfId="98" priority="1" operator="equal">
      <formula>"PAID BUT NOT INVOICED"</formula>
    </cfRule>
    <cfRule type="cellIs" dxfId="97" priority="2" operator="equal">
      <formula>"PART PAYMENT"</formula>
    </cfRule>
    <cfRule type="cellIs" dxfId="96" priority="3" operator="equal">
      <formula>"NOT PAID"</formula>
    </cfRule>
    <cfRule type="cellIs" dxfId="95" priority="4" operator="equal">
      <formula>"PAID"</formula>
    </cfRule>
  </conditionalFormatting>
  <dataValidations count="1">
    <dataValidation type="list" allowBlank="1" showInputMessage="1" showErrorMessage="1" sqref="J2:J12" xr:uid="{BA0763D1-1B2D-464A-AD41-9F43E2D2BC87}">
      <formula1>"PAID, NOT PAID, PART PAYMENT, PAID BUT NOT INVOICED, NO ORDER"</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7377C-CB33-4ECF-B46E-5CA9EDF7A6F3}">
  <dimension ref="A1:L13"/>
  <sheetViews>
    <sheetView topLeftCell="D1" zoomScale="92" workbookViewId="0">
      <selection activeCell="F2" sqref="F2:H12"/>
    </sheetView>
  </sheetViews>
  <sheetFormatPr defaultRowHeight="15" customHeight="1"/>
  <cols>
    <col min="2" max="4" width="14.28515625" customWidth="1"/>
    <col min="5" max="5" width="19" customWidth="1"/>
    <col min="6" max="6" width="11.28515625" customWidth="1"/>
    <col min="7" max="7" width="22.28515625" customWidth="1"/>
    <col min="8" max="8" width="28.5703125" customWidth="1"/>
    <col min="9" max="9" width="20.5703125" style="38" customWidth="1"/>
    <col min="10" max="10" width="24.42578125" customWidth="1"/>
    <col min="11" max="11" width="19.7109375" customWidth="1"/>
  </cols>
  <sheetData>
    <row r="1" spans="1:12" ht="29.1">
      <c r="A1" s="48" t="s">
        <v>0</v>
      </c>
      <c r="B1" s="49" t="s">
        <v>1</v>
      </c>
      <c r="C1" s="48" t="s">
        <v>2</v>
      </c>
      <c r="D1" s="48" t="s">
        <v>3</v>
      </c>
      <c r="E1" s="48" t="s">
        <v>4</v>
      </c>
      <c r="F1" s="49" t="s">
        <v>5</v>
      </c>
      <c r="G1" s="49" t="s">
        <v>6</v>
      </c>
      <c r="H1" s="48" t="s">
        <v>7</v>
      </c>
      <c r="I1" s="49" t="s">
        <v>8</v>
      </c>
      <c r="J1" s="48" t="s">
        <v>9</v>
      </c>
      <c r="K1" s="49" t="s">
        <v>10</v>
      </c>
    </row>
    <row r="2" spans="1:12" ht="31.9" customHeight="1">
      <c r="A2" s="5">
        <v>1</v>
      </c>
      <c r="B2" s="32">
        <v>44074</v>
      </c>
      <c r="C2" s="32" t="str">
        <f>"Q"&amp;INT((MONTH(B2)-1)/3)+1</f>
        <v>Q3</v>
      </c>
      <c r="D2" s="32" t="str">
        <f>TEXT(AUG[[#This Row],[Invoice Date]],"MMM")</f>
        <v>Aug</v>
      </c>
      <c r="E2" s="52" t="s">
        <v>11</v>
      </c>
      <c r="F2" s="75">
        <v>50</v>
      </c>
      <c r="G2" s="78">
        <v>2750480.5</v>
      </c>
      <c r="H2" s="78">
        <v>470200</v>
      </c>
      <c r="I2" s="37">
        <f>AUG[[#This Row],[Invoice Value(₦)]]-AUG[[#This Row],[Cash Received (₦)]]</f>
        <v>2280280.5</v>
      </c>
      <c r="J2" s="9"/>
      <c r="K2" s="10"/>
    </row>
    <row r="3" spans="1:12" ht="14.45">
      <c r="A3" s="5">
        <v>2</v>
      </c>
      <c r="B3" s="32">
        <v>44074</v>
      </c>
      <c r="C3" s="32" t="str">
        <f t="shared" ref="C3:C12" si="0">"Q"&amp;INT((MONTH(B3)-1)/3)+1</f>
        <v>Q3</v>
      </c>
      <c r="D3" s="32" t="str">
        <f>TEXT(AUG[[#This Row],[Invoice Date]],"MMM")</f>
        <v>Aug</v>
      </c>
      <c r="E3" s="53" t="s">
        <v>13</v>
      </c>
      <c r="F3" s="75">
        <v>8</v>
      </c>
      <c r="G3" s="78">
        <v>24120320.75</v>
      </c>
      <c r="H3" s="78">
        <v>24120320.75</v>
      </c>
      <c r="I3" s="37">
        <f>AUG[[#This Row],[Invoice Value(₦)]]-AUG[[#This Row],[Cash Received (₦)]]</f>
        <v>0</v>
      </c>
      <c r="J3" s="12" t="s">
        <v>12</v>
      </c>
      <c r="K3" s="10"/>
    </row>
    <row r="4" spans="1:12" ht="14.45">
      <c r="A4" s="5">
        <v>3</v>
      </c>
      <c r="B4" s="32">
        <v>44074</v>
      </c>
      <c r="C4" s="32" t="str">
        <f t="shared" si="0"/>
        <v>Q3</v>
      </c>
      <c r="D4" s="32" t="str">
        <f>TEXT(AUG[[#This Row],[Invoice Date]],"MMM")</f>
        <v>Aug</v>
      </c>
      <c r="E4" s="52" t="s">
        <v>14</v>
      </c>
      <c r="F4" s="75">
        <v>2</v>
      </c>
      <c r="G4" s="78">
        <v>15480.6</v>
      </c>
      <c r="H4" s="78">
        <v>15480.6</v>
      </c>
      <c r="I4" s="37">
        <f>AUG[[#This Row],[Invoice Value(₦)]]-AUG[[#This Row],[Cash Received (₦)]]</f>
        <v>0</v>
      </c>
      <c r="J4" s="9" t="s">
        <v>12</v>
      </c>
      <c r="K4" s="10"/>
      <c r="L4" s="43"/>
    </row>
    <row r="5" spans="1:12" ht="29.1">
      <c r="A5" s="5">
        <v>4</v>
      </c>
      <c r="B5" s="32">
        <v>44074</v>
      </c>
      <c r="C5" s="32" t="str">
        <f t="shared" si="0"/>
        <v>Q3</v>
      </c>
      <c r="D5" s="32" t="str">
        <f>TEXT(AUG[[#This Row],[Invoice Date]],"MMM")</f>
        <v>Aug</v>
      </c>
      <c r="E5" s="53" t="s">
        <v>15</v>
      </c>
      <c r="F5" s="75">
        <v>70</v>
      </c>
      <c r="G5" s="78">
        <v>1300450.8999999999</v>
      </c>
      <c r="H5" s="78">
        <v>45120.4</v>
      </c>
      <c r="I5" s="37">
        <f>AUG[[#This Row],[Invoice Value(₦)]]-AUG[[#This Row],[Cash Received (₦)]]</f>
        <v>1255330.5</v>
      </c>
      <c r="J5" s="12" t="s">
        <v>17</v>
      </c>
      <c r="K5" s="10"/>
    </row>
    <row r="6" spans="1:12" ht="29.1">
      <c r="A6" s="5">
        <v>5</v>
      </c>
      <c r="B6" s="32">
        <v>44074</v>
      </c>
      <c r="C6" s="32" t="str">
        <f t="shared" si="0"/>
        <v>Q3</v>
      </c>
      <c r="D6" s="32" t="str">
        <f>TEXT(AUG[[#This Row],[Invoice Date]],"MMM")</f>
        <v>Aug</v>
      </c>
      <c r="E6" s="52" t="s">
        <v>16</v>
      </c>
      <c r="F6" s="75">
        <v>12</v>
      </c>
      <c r="G6" s="78">
        <v>225480.6</v>
      </c>
      <c r="H6" s="75"/>
      <c r="I6" s="37">
        <f>AUG[[#This Row],[Invoice Value(₦)]]-AUG[[#This Row],[Cash Received (₦)]]</f>
        <v>225480.6</v>
      </c>
      <c r="J6" s="12" t="s">
        <v>26</v>
      </c>
      <c r="K6" s="10"/>
    </row>
    <row r="7" spans="1:12" ht="16.5" customHeight="1">
      <c r="A7" s="5">
        <v>6</v>
      </c>
      <c r="B7" s="32">
        <v>44074</v>
      </c>
      <c r="C7" s="32" t="str">
        <f t="shared" si="0"/>
        <v>Q3</v>
      </c>
      <c r="D7" s="32" t="str">
        <f>TEXT(AUG[[#This Row],[Invoice Date]],"MMM")</f>
        <v>Aug</v>
      </c>
      <c r="E7" s="53" t="s">
        <v>18</v>
      </c>
      <c r="F7" s="75">
        <v>65</v>
      </c>
      <c r="G7" s="78">
        <v>2850250.8</v>
      </c>
      <c r="H7" s="78">
        <v>20480.900000000001</v>
      </c>
      <c r="I7" s="37">
        <f>AUG[[#This Row],[Invoice Value(₦)]]-AUG[[#This Row],[Cash Received (₦)]]</f>
        <v>2829769.9</v>
      </c>
      <c r="J7" s="13"/>
      <c r="K7" s="10"/>
    </row>
    <row r="8" spans="1:12" ht="14.45">
      <c r="A8" s="5">
        <v>7</v>
      </c>
      <c r="B8" s="32">
        <v>44074</v>
      </c>
      <c r="C8" s="32" t="str">
        <f t="shared" si="0"/>
        <v>Q3</v>
      </c>
      <c r="D8" s="32" t="str">
        <f>TEXT(AUG[[#This Row],[Invoice Date]],"MMM")</f>
        <v>Aug</v>
      </c>
      <c r="E8" s="52" t="s">
        <v>20</v>
      </c>
      <c r="F8" s="75"/>
      <c r="G8" s="75"/>
      <c r="H8" s="75"/>
      <c r="I8" s="37">
        <f>AUG[[#This Row],[Invoice Value(₦)]]-AUG[[#This Row],[Cash Received (₦)]]</f>
        <v>0</v>
      </c>
      <c r="J8" s="13"/>
      <c r="K8" s="10"/>
    </row>
    <row r="9" spans="1:12" ht="14.45">
      <c r="A9" s="5">
        <v>8</v>
      </c>
      <c r="B9" s="32">
        <v>44074</v>
      </c>
      <c r="C9" s="32" t="str">
        <f t="shared" si="0"/>
        <v>Q3</v>
      </c>
      <c r="D9" s="32" t="str">
        <f>TEXT(AUG[[#This Row],[Invoice Date]],"MMM")</f>
        <v>Aug</v>
      </c>
      <c r="E9" s="53" t="s">
        <v>21</v>
      </c>
      <c r="F9" s="75">
        <v>110</v>
      </c>
      <c r="G9" s="78">
        <v>970320.75</v>
      </c>
      <c r="H9" s="75"/>
      <c r="I9" s="37">
        <f>AUG[[#This Row],[Invoice Value(₦)]]-AUG[[#This Row],[Cash Received (₦)]]</f>
        <v>970320.75</v>
      </c>
      <c r="J9" s="12" t="s">
        <v>26</v>
      </c>
      <c r="K9" s="10"/>
    </row>
    <row r="10" spans="1:12" ht="14.45">
      <c r="A10" s="5">
        <v>9</v>
      </c>
      <c r="B10" s="32">
        <v>44074</v>
      </c>
      <c r="C10" s="32" t="str">
        <f t="shared" si="0"/>
        <v>Q3</v>
      </c>
      <c r="D10" s="32" t="str">
        <f>TEXT(AUG[[#This Row],[Invoice Date]],"MMM")</f>
        <v>Aug</v>
      </c>
      <c r="E10" s="52" t="s">
        <v>22</v>
      </c>
      <c r="F10" s="75">
        <v>10</v>
      </c>
      <c r="G10" s="78">
        <v>650480.6</v>
      </c>
      <c r="H10" s="78">
        <v>650480.6</v>
      </c>
      <c r="I10" s="37">
        <f>AUG[[#This Row],[Invoice Value(₦)]]-AUG[[#This Row],[Cash Received (₦)]]</f>
        <v>0</v>
      </c>
      <c r="J10" s="12" t="s">
        <v>17</v>
      </c>
      <c r="K10" s="10"/>
    </row>
    <row r="11" spans="1:12" ht="14.45">
      <c r="A11" s="5">
        <v>10</v>
      </c>
      <c r="B11" s="32">
        <v>44074</v>
      </c>
      <c r="C11" s="32" t="str">
        <f t="shared" si="0"/>
        <v>Q3</v>
      </c>
      <c r="D11" s="32" t="str">
        <f>TEXT(AUG[[#This Row],[Invoice Date]],"MMM")</f>
        <v>Aug</v>
      </c>
      <c r="E11" s="53" t="s">
        <v>23</v>
      </c>
      <c r="F11" s="75"/>
      <c r="G11" s="75"/>
      <c r="H11" s="75"/>
      <c r="I11" s="37">
        <f>AUG[[#This Row],[Invoice Value(₦)]]-AUG[[#This Row],[Cash Received (₦)]]</f>
        <v>0</v>
      </c>
      <c r="J11" s="13"/>
      <c r="K11" s="10"/>
    </row>
    <row r="12" spans="1:12" ht="14.45">
      <c r="A12" s="5">
        <v>11</v>
      </c>
      <c r="B12" s="32">
        <v>44074</v>
      </c>
      <c r="C12" s="32" t="str">
        <f t="shared" si="0"/>
        <v>Q3</v>
      </c>
      <c r="D12" s="32" t="str">
        <f>TEXT(AUG[[#This Row],[Invoice Date]],"MMM")</f>
        <v>Aug</v>
      </c>
      <c r="E12" s="52" t="s">
        <v>24</v>
      </c>
      <c r="F12" s="75">
        <v>40</v>
      </c>
      <c r="G12" s="78">
        <v>3300480.6</v>
      </c>
      <c r="H12" s="78">
        <v>390120.3</v>
      </c>
      <c r="I12" s="37">
        <f>AUG[[#This Row],[Invoice Value(₦)]]-AUG[[#This Row],[Cash Received (₦)]]</f>
        <v>2910360.3000000003</v>
      </c>
      <c r="J12" s="12" t="s">
        <v>26</v>
      </c>
      <c r="K12" s="10"/>
    </row>
    <row r="13" spans="1:12" ht="18.600000000000001">
      <c r="A13" s="16"/>
      <c r="B13" s="17"/>
      <c r="C13" s="36"/>
      <c r="D13" s="36"/>
      <c r="E13" s="18" t="s">
        <v>25</v>
      </c>
      <c r="F13" s="27">
        <f>SUM(F2:F12)</f>
        <v>367</v>
      </c>
      <c r="G13" s="24">
        <f>SUM(G2:G12)</f>
        <v>36183746.100000001</v>
      </c>
      <c r="H13" s="24">
        <f>SUM(H2:H12)</f>
        <v>25712203.550000001</v>
      </c>
      <c r="I13" s="24">
        <f>SUM(I2:I12)</f>
        <v>10471542.550000001</v>
      </c>
      <c r="J13" s="19"/>
      <c r="K13" s="21"/>
    </row>
  </sheetData>
  <conditionalFormatting sqref="I2:I12">
    <cfRule type="cellIs" dxfId="86" priority="22" operator="greaterThan">
      <formula>0</formula>
    </cfRule>
  </conditionalFormatting>
  <conditionalFormatting sqref="J2 J4 J7:J8 J10:J11 J13:J1048576">
    <cfRule type="cellIs" dxfId="85" priority="17" operator="equal">
      <formula>"PAID BUT NOT INVOICED"</formula>
    </cfRule>
    <cfRule type="cellIs" dxfId="84" priority="18" operator="equal">
      <formula>"PART PAYMENT"</formula>
    </cfRule>
    <cfRule type="cellIs" dxfId="83" priority="19" operator="equal">
      <formula>"NOT PAID"</formula>
    </cfRule>
    <cfRule type="cellIs" dxfId="82" priority="20" operator="equal">
      <formula>"PAID"</formula>
    </cfRule>
  </conditionalFormatting>
  <conditionalFormatting sqref="J3">
    <cfRule type="cellIs" dxfId="81" priority="13" operator="equal">
      <formula>"PAID BUT NOT INVOICED"</formula>
    </cfRule>
    <cfRule type="cellIs" dxfId="80" priority="14" operator="equal">
      <formula>"PART PAYMENT"</formula>
    </cfRule>
    <cfRule type="cellIs" dxfId="79" priority="15" operator="equal">
      <formula>"NOT PAID"</formula>
    </cfRule>
    <cfRule type="cellIs" dxfId="78" priority="16" operator="equal">
      <formula>"PAID"</formula>
    </cfRule>
  </conditionalFormatting>
  <conditionalFormatting sqref="J5:J6">
    <cfRule type="cellIs" dxfId="77" priority="9" operator="equal">
      <formula>"PAID BUT NOT INVOICED"</formula>
    </cfRule>
    <cfRule type="cellIs" dxfId="76" priority="10" operator="equal">
      <formula>"PART PAYMENT"</formula>
    </cfRule>
    <cfRule type="cellIs" dxfId="75" priority="11" operator="equal">
      <formula>"NOT PAID"</formula>
    </cfRule>
    <cfRule type="cellIs" dxfId="74" priority="12" operator="equal">
      <formula>"PAID"</formula>
    </cfRule>
  </conditionalFormatting>
  <conditionalFormatting sqref="J9">
    <cfRule type="cellIs" dxfId="73" priority="5" operator="equal">
      <formula>"PAID BUT NOT INVOICED"</formula>
    </cfRule>
    <cfRule type="cellIs" dxfId="72" priority="6" operator="equal">
      <formula>"PART PAYMENT"</formula>
    </cfRule>
    <cfRule type="cellIs" dxfId="71" priority="7" operator="equal">
      <formula>"NOT PAID"</formula>
    </cfRule>
    <cfRule type="cellIs" dxfId="70" priority="8" operator="equal">
      <formula>"PAID"</formula>
    </cfRule>
  </conditionalFormatting>
  <conditionalFormatting sqref="J12">
    <cfRule type="cellIs" dxfId="69" priority="1" operator="equal">
      <formula>"PAID BUT NOT INVOICED"</formula>
    </cfRule>
    <cfRule type="cellIs" dxfId="68" priority="2" operator="equal">
      <formula>"PART PAYMENT"</formula>
    </cfRule>
    <cfRule type="cellIs" dxfId="67" priority="3" operator="equal">
      <formula>"NOT PAID"</formula>
    </cfRule>
    <cfRule type="cellIs" dxfId="66" priority="4" operator="equal">
      <formula>"PAID"</formula>
    </cfRule>
  </conditionalFormatting>
  <dataValidations count="1">
    <dataValidation type="list" allowBlank="1" showInputMessage="1" showErrorMessage="1" sqref="J2:J12" xr:uid="{6911F027-F837-41A6-8EAA-990ACD806008}">
      <formula1>"PAID, NOT PAID, PART PAYMENT, PAID BUT NOT INVOICED, NO ORDER"</formula1>
    </dataValidation>
  </dataValidation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0F512-EEAE-4481-97DE-B45F058DC0A0}">
  <dimension ref="A1:K13"/>
  <sheetViews>
    <sheetView topLeftCell="C1" zoomScale="85" zoomScaleNormal="85" workbookViewId="0">
      <selection activeCell="F2" sqref="F2:H12"/>
    </sheetView>
  </sheetViews>
  <sheetFormatPr defaultRowHeight="15" customHeight="1"/>
  <cols>
    <col min="2" max="4" width="14.28515625" customWidth="1"/>
    <col min="5" max="5" width="19" customWidth="1"/>
    <col min="6" max="6" width="11.28515625" customWidth="1"/>
    <col min="7" max="7" width="22.28515625" customWidth="1"/>
    <col min="8" max="8" width="19" customWidth="1"/>
    <col min="9" max="9" width="25.5703125" style="38" customWidth="1"/>
    <col min="10" max="10" width="24.42578125" customWidth="1"/>
    <col min="11" max="11" width="19.7109375" customWidth="1"/>
  </cols>
  <sheetData>
    <row r="1" spans="1:11" ht="14.45">
      <c r="A1" s="48" t="s">
        <v>0</v>
      </c>
      <c r="B1" s="49" t="s">
        <v>1</v>
      </c>
      <c r="C1" s="48" t="s">
        <v>2</v>
      </c>
      <c r="D1" s="48" t="s">
        <v>3</v>
      </c>
      <c r="E1" s="48" t="s">
        <v>4</v>
      </c>
      <c r="F1" s="49" t="s">
        <v>5</v>
      </c>
      <c r="G1" s="49" t="s">
        <v>6</v>
      </c>
      <c r="H1" s="49" t="s">
        <v>7</v>
      </c>
      <c r="I1" s="49" t="s">
        <v>8</v>
      </c>
      <c r="J1" s="48" t="s">
        <v>9</v>
      </c>
      <c r="K1" s="49" t="s">
        <v>10</v>
      </c>
    </row>
    <row r="2" spans="1:11" ht="31.9" customHeight="1">
      <c r="A2" s="5">
        <v>1</v>
      </c>
      <c r="B2" s="32">
        <v>44104</v>
      </c>
      <c r="C2" s="32" t="str">
        <f>"Q"&amp;INT((MONTH(SEP[[#This Row],[Invoice Date]])-1)/3)+1</f>
        <v>Q3</v>
      </c>
      <c r="D2" s="32" t="str">
        <f>TEXT(SEP[[#This Row],[Invoice Date]],"MMM")</f>
        <v>Sep</v>
      </c>
      <c r="E2" s="52" t="s">
        <v>11</v>
      </c>
      <c r="F2" s="75">
        <v>35</v>
      </c>
      <c r="G2" s="78">
        <v>1520480.75</v>
      </c>
      <c r="H2" s="78">
        <v>115320.6</v>
      </c>
      <c r="I2" s="37">
        <f>SEP[[#This Row],[Invoice Value(₦)]]-SEP[[#This Row],[Cash Received (₦)]]</f>
        <v>1405160.15</v>
      </c>
      <c r="J2" s="9" t="s">
        <v>17</v>
      </c>
      <c r="K2" s="10"/>
    </row>
    <row r="3" spans="1:11" ht="14.45">
      <c r="A3" s="5">
        <v>3</v>
      </c>
      <c r="B3" s="32">
        <v>44104</v>
      </c>
      <c r="C3" s="32" t="str">
        <f>"Q"&amp;INT((MONTH(SEP[[#This Row],[Invoice Date]])-1)/3)+1</f>
        <v>Q3</v>
      </c>
      <c r="D3" s="32" t="str">
        <f>TEXT(SEP[[#This Row],[Invoice Date]],"MMM")</f>
        <v>Sep</v>
      </c>
      <c r="E3" s="53" t="s">
        <v>13</v>
      </c>
      <c r="F3" s="75">
        <v>0</v>
      </c>
      <c r="G3" s="75"/>
      <c r="H3" s="75"/>
      <c r="I3" s="37">
        <v>0</v>
      </c>
      <c r="J3" s="13"/>
      <c r="K3" s="10"/>
    </row>
    <row r="4" spans="1:11" ht="14.45">
      <c r="A4" s="5">
        <v>4</v>
      </c>
      <c r="B4" s="32">
        <v>44104</v>
      </c>
      <c r="C4" s="32" t="str">
        <f>"Q"&amp;INT((MONTH(SEP[[#This Row],[Invoice Date]])-1)/3)+1</f>
        <v>Q3</v>
      </c>
      <c r="D4" s="32" t="str">
        <f>TEXT(SEP[[#This Row],[Invoice Date]],"MMM")</f>
        <v>Sep</v>
      </c>
      <c r="E4" s="52" t="s">
        <v>14</v>
      </c>
      <c r="F4" s="75">
        <v>0</v>
      </c>
      <c r="G4" s="75"/>
      <c r="H4" s="75"/>
      <c r="I4" s="37">
        <f>SEP[[#This Row],[Invoice Value(₦)]]-SEP[[#This Row],[Cash Received (₦)]]</f>
        <v>0</v>
      </c>
      <c r="J4" s="9"/>
      <c r="K4" s="10"/>
    </row>
    <row r="5" spans="1:11" ht="29.1">
      <c r="A5" s="5">
        <v>5</v>
      </c>
      <c r="B5" s="32">
        <v>44104</v>
      </c>
      <c r="C5" s="32" t="str">
        <f>"Q"&amp;INT((MONTH(SEP[[#This Row],[Invoice Date]])-1)/3)+1</f>
        <v>Q3</v>
      </c>
      <c r="D5" s="32" t="str">
        <f>TEXT(SEP[[#This Row],[Invoice Date]],"MMM")</f>
        <v>Sep</v>
      </c>
      <c r="E5" s="53" t="s">
        <v>15</v>
      </c>
      <c r="F5" s="75">
        <v>10</v>
      </c>
      <c r="G5" s="78">
        <v>190450.6</v>
      </c>
      <c r="H5" s="78">
        <v>190420.25</v>
      </c>
      <c r="I5" s="37">
        <f>SEP[[#This Row],[Invoice Value(₦)]]-SEP[[#This Row],[Cash Received (₦)]]</f>
        <v>30.350000000005821</v>
      </c>
      <c r="J5" s="12" t="s">
        <v>17</v>
      </c>
      <c r="K5" s="10"/>
    </row>
    <row r="6" spans="1:11" ht="29.1">
      <c r="A6" s="5">
        <v>6</v>
      </c>
      <c r="B6" s="32">
        <v>44104</v>
      </c>
      <c r="C6" s="32" t="str">
        <f>"Q"&amp;INT((MONTH(SEP[[#This Row],[Invoice Date]])-1)/3)+1</f>
        <v>Q3</v>
      </c>
      <c r="D6" s="32" t="str">
        <f>TEXT(SEP[[#This Row],[Invoice Date]],"MMM")</f>
        <v>Sep</v>
      </c>
      <c r="E6" s="52" t="s">
        <v>16</v>
      </c>
      <c r="F6" s="75">
        <v>3</v>
      </c>
      <c r="G6" s="78">
        <v>42480.9</v>
      </c>
      <c r="H6" s="75"/>
      <c r="I6" s="37">
        <f>SEP[[#This Row],[Invoice Value(₦)]]-SEP[[#This Row],[Cash Received (₦)]]</f>
        <v>42480.9</v>
      </c>
      <c r="J6" s="12" t="s">
        <v>26</v>
      </c>
      <c r="K6" s="10"/>
    </row>
    <row r="7" spans="1:11" ht="16.5" customHeight="1">
      <c r="A7" s="5">
        <v>7</v>
      </c>
      <c r="B7" s="32">
        <v>44104</v>
      </c>
      <c r="C7" s="32" t="str">
        <f>"Q"&amp;INT((MONTH(SEP[[#This Row],[Invoice Date]])-1)/3)+1</f>
        <v>Q3</v>
      </c>
      <c r="D7" s="32" t="str">
        <f>TEXT(SEP[[#This Row],[Invoice Date]],"MMM")</f>
        <v>Sep</v>
      </c>
      <c r="E7" s="53" t="s">
        <v>18</v>
      </c>
      <c r="F7" s="75">
        <v>55</v>
      </c>
      <c r="G7" s="78">
        <v>2720250.8</v>
      </c>
      <c r="H7" s="78">
        <v>1200480.8999999999</v>
      </c>
      <c r="I7" s="37">
        <f>SEP[[#This Row],[Invoice Value(₦)]]-SEP[[#This Row],[Cash Received (₦)]]</f>
        <v>1519769.9</v>
      </c>
      <c r="J7" s="12" t="s">
        <v>17</v>
      </c>
      <c r="K7" s="10"/>
    </row>
    <row r="8" spans="1:11" ht="14.45">
      <c r="A8" s="5">
        <v>8</v>
      </c>
      <c r="B8" s="32">
        <v>44104</v>
      </c>
      <c r="C8" s="32" t="str">
        <f>"Q"&amp;INT((MONTH(SEP[[#This Row],[Invoice Date]])-1)/3)+1</f>
        <v>Q3</v>
      </c>
      <c r="D8" s="32" t="str">
        <f>TEXT(SEP[[#This Row],[Invoice Date]],"MMM")</f>
        <v>Sep</v>
      </c>
      <c r="E8" s="52" t="s">
        <v>20</v>
      </c>
      <c r="F8" s="75">
        <v>0</v>
      </c>
      <c r="G8" s="75"/>
      <c r="H8" s="75"/>
      <c r="I8" s="37">
        <f>SEP[[#This Row],[Invoice Value(₦)]]-SEP[[#This Row],[Cash Received (₦)]]</f>
        <v>0</v>
      </c>
      <c r="J8" s="13"/>
      <c r="K8" s="10"/>
    </row>
    <row r="9" spans="1:11" ht="14.45">
      <c r="A9" s="5">
        <v>9</v>
      </c>
      <c r="B9" s="32">
        <v>44104</v>
      </c>
      <c r="C9" s="32" t="str">
        <f>"Q"&amp;INT((MONTH(SEP[[#This Row],[Invoice Date]])-1)/3)+1</f>
        <v>Q3</v>
      </c>
      <c r="D9" s="32" t="str">
        <f>TEXT(SEP[[#This Row],[Invoice Date]],"MMM")</f>
        <v>Sep</v>
      </c>
      <c r="E9" s="53" t="s">
        <v>21</v>
      </c>
      <c r="F9" s="75">
        <v>80</v>
      </c>
      <c r="G9" s="78">
        <v>500480.6</v>
      </c>
      <c r="H9" s="75"/>
      <c r="I9" s="37">
        <f>SEP[[#This Row],[Invoice Value(₦)]]-SEP[[#This Row],[Cash Received (₦)]]</f>
        <v>500480.6</v>
      </c>
      <c r="J9" s="12" t="s">
        <v>26</v>
      </c>
      <c r="K9" s="10"/>
    </row>
    <row r="10" spans="1:11" ht="14.45">
      <c r="A10" s="5">
        <v>10</v>
      </c>
      <c r="B10" s="32">
        <v>44104</v>
      </c>
      <c r="C10" s="32" t="str">
        <f>"Q"&amp;INT((MONTH(SEP[[#This Row],[Invoice Date]])-1)/3)+1</f>
        <v>Q3</v>
      </c>
      <c r="D10" s="32" t="str">
        <f>TEXT(SEP[[#This Row],[Invoice Date]],"MMM")</f>
        <v>Sep</v>
      </c>
      <c r="E10" s="52" t="s">
        <v>22</v>
      </c>
      <c r="F10" s="75">
        <v>4</v>
      </c>
      <c r="G10" s="78">
        <v>85320.5</v>
      </c>
      <c r="H10" s="78">
        <v>85320.5</v>
      </c>
      <c r="I10" s="37">
        <f>SEP[[#This Row],[Invoice Value(₦)]]-SEP[[#This Row],[Cash Received (₦)]]</f>
        <v>0</v>
      </c>
      <c r="J10" s="12" t="s">
        <v>12</v>
      </c>
      <c r="K10" s="10"/>
    </row>
    <row r="11" spans="1:11" ht="14.45">
      <c r="A11" s="5">
        <v>11</v>
      </c>
      <c r="B11" s="32">
        <v>44104</v>
      </c>
      <c r="C11" s="32" t="str">
        <f>"Q"&amp;INT((MONTH(SEP[[#This Row],[Invoice Date]])-1)/3)+1</f>
        <v>Q3</v>
      </c>
      <c r="D11" s="32" t="str">
        <f>TEXT(SEP[[#This Row],[Invoice Date]],"MMM")</f>
        <v>Sep</v>
      </c>
      <c r="E11" s="53" t="s">
        <v>23</v>
      </c>
      <c r="F11" s="75">
        <v>0</v>
      </c>
      <c r="G11" s="75"/>
      <c r="H11" s="75"/>
      <c r="I11" s="37">
        <v>0</v>
      </c>
      <c r="J11" s="13" t="s">
        <v>19</v>
      </c>
      <c r="K11" s="10"/>
    </row>
    <row r="12" spans="1:11" ht="14.45">
      <c r="A12" s="5">
        <v>12</v>
      </c>
      <c r="B12" s="32">
        <v>44104</v>
      </c>
      <c r="C12" s="32" t="str">
        <f>"Q"&amp;INT((MONTH(SEP[[#This Row],[Invoice Date]])-1)/3)+1</f>
        <v>Q3</v>
      </c>
      <c r="D12" s="32" t="str">
        <f>TEXT(SEP[[#This Row],[Invoice Date]],"MMM")</f>
        <v>Sep</v>
      </c>
      <c r="E12" s="52" t="s">
        <v>24</v>
      </c>
      <c r="F12" s="75">
        <v>20</v>
      </c>
      <c r="G12" s="78">
        <v>950480.6</v>
      </c>
      <c r="H12" s="75"/>
      <c r="I12" s="37">
        <f>SEP[[#This Row],[Invoice Value(₦)]]-SEP[[#This Row],[Cash Received (₦)]]</f>
        <v>950480.6</v>
      </c>
      <c r="J12" s="12" t="s">
        <v>26</v>
      </c>
      <c r="K12" s="10"/>
    </row>
    <row r="13" spans="1:11" ht="18.600000000000001">
      <c r="A13" s="16"/>
      <c r="B13" s="17"/>
      <c r="C13" s="36"/>
      <c r="D13" s="36"/>
      <c r="E13" s="18" t="s">
        <v>25</v>
      </c>
      <c r="F13" s="27">
        <f t="shared" ref="F13:I13" si="0">SUM(F2:F12)</f>
        <v>207</v>
      </c>
      <c r="G13" s="24">
        <f t="shared" si="0"/>
        <v>6009944.7499999991</v>
      </c>
      <c r="H13" s="24">
        <f t="shared" si="0"/>
        <v>1591542.25</v>
      </c>
      <c r="I13" s="24">
        <f t="shared" si="0"/>
        <v>4418402.5</v>
      </c>
      <c r="J13" s="19"/>
      <c r="K13" s="21"/>
    </row>
  </sheetData>
  <conditionalFormatting sqref="I2:I12">
    <cfRule type="cellIs" dxfId="57" priority="6" operator="greaterThan">
      <formula>0</formula>
    </cfRule>
  </conditionalFormatting>
  <conditionalFormatting sqref="J2:J1048576">
    <cfRule type="cellIs" dxfId="56" priority="1" operator="equal">
      <formula>"PAID BUT NOT INVOICED"</formula>
    </cfRule>
    <cfRule type="cellIs" dxfId="55" priority="2" operator="equal">
      <formula>"PART PAYMENT"</formula>
    </cfRule>
    <cfRule type="cellIs" dxfId="54" priority="3" operator="equal">
      <formula>"NOT PAID"</formula>
    </cfRule>
    <cfRule type="cellIs" dxfId="53" priority="4" operator="equal">
      <formula>"PAID"</formula>
    </cfRule>
  </conditionalFormatting>
  <dataValidations count="1">
    <dataValidation type="list" allowBlank="1" showInputMessage="1" showErrorMessage="1" sqref="J2:J12" xr:uid="{442E66A8-7C07-46FB-B1D9-FC0569D6B9FE}">
      <formula1>"PAID, NOT PAID, PART PAYMENT, PAID BUT NOT INVOICED, NO ORDER"</formula1>
    </dataValidation>
  </dataValidation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080CE-E345-4FA0-8AEF-08B61B563735}">
  <dimension ref="A1:K13"/>
  <sheetViews>
    <sheetView topLeftCell="E1" zoomScale="92" workbookViewId="0">
      <selection activeCell="G13" sqref="G13"/>
    </sheetView>
  </sheetViews>
  <sheetFormatPr defaultRowHeight="14.45"/>
  <cols>
    <col min="2" max="4" width="14.28515625" customWidth="1"/>
    <col min="5" max="5" width="19" customWidth="1"/>
    <col min="6" max="6" width="17.7109375" customWidth="1"/>
    <col min="7" max="7" width="22.28515625" customWidth="1"/>
    <col min="8" max="8" width="21.85546875" customWidth="1"/>
    <col min="9" max="9" width="20.5703125" style="38" customWidth="1"/>
    <col min="10" max="10" width="24.42578125" customWidth="1"/>
    <col min="11" max="11" width="19.7109375" customWidth="1"/>
  </cols>
  <sheetData>
    <row r="1" spans="1:11" ht="29.1">
      <c r="A1" s="48" t="s">
        <v>0</v>
      </c>
      <c r="B1" s="49" t="s">
        <v>1</v>
      </c>
      <c r="C1" s="48" t="s">
        <v>2</v>
      </c>
      <c r="D1" s="48" t="s">
        <v>3</v>
      </c>
      <c r="E1" s="48" t="s">
        <v>4</v>
      </c>
      <c r="F1" s="48" t="s">
        <v>5</v>
      </c>
      <c r="G1" s="49" t="s">
        <v>6</v>
      </c>
      <c r="H1" s="48" t="s">
        <v>7</v>
      </c>
      <c r="I1" s="49" t="s">
        <v>8</v>
      </c>
      <c r="J1" s="48" t="s">
        <v>9</v>
      </c>
      <c r="K1" s="49" t="s">
        <v>10</v>
      </c>
    </row>
    <row r="2" spans="1:11" ht="31.9" customHeight="1">
      <c r="A2" s="5">
        <v>1</v>
      </c>
      <c r="B2" s="32">
        <v>45961</v>
      </c>
      <c r="C2" s="32" t="str">
        <f>"Q"&amp;INT((MONTH(OCT[[#This Row],[Invoice Date]])-1)/3)+1</f>
        <v>Q4</v>
      </c>
      <c r="D2" s="32" t="str">
        <f>TEXT(OCT[[#This Row],[Invoice Date]],"MMM")</f>
        <v>Oct</v>
      </c>
      <c r="E2" s="52" t="s">
        <v>11</v>
      </c>
      <c r="F2" s="75">
        <v>15</v>
      </c>
      <c r="G2" s="78">
        <v>6700250.7999999998</v>
      </c>
      <c r="H2" s="75"/>
      <c r="I2" s="37">
        <f>OCT[[#This Row],[Invoice Value(₦)]]-OCT[[#This Row],[Cash Received (₦)]]</f>
        <v>6700250.7999999998</v>
      </c>
      <c r="J2" s="9"/>
      <c r="K2" s="10"/>
    </row>
    <row r="3" spans="1:11">
      <c r="A3" s="5">
        <v>3</v>
      </c>
      <c r="B3" s="32">
        <v>45961</v>
      </c>
      <c r="C3" s="32" t="str">
        <f>"Q"&amp;INT((MONTH(OCT[[#This Row],[Invoice Date]])-1)/3)+1</f>
        <v>Q4</v>
      </c>
      <c r="D3" s="32" t="str">
        <f>TEXT(OCT[[#This Row],[Invoice Date]],"MMM")</f>
        <v>Oct</v>
      </c>
      <c r="E3" s="53" t="s">
        <v>13</v>
      </c>
      <c r="F3" s="75">
        <v>2</v>
      </c>
      <c r="G3" s="78">
        <v>6550480.5999999996</v>
      </c>
      <c r="H3" s="78">
        <v>6330120.4000000004</v>
      </c>
      <c r="I3" s="37">
        <f>OCT[[#This Row],[Invoice Value(₦)]]-OCT[[#This Row],[Cash Received (₦)]]</f>
        <v>220360.19999999925</v>
      </c>
      <c r="J3" s="13" t="s">
        <v>17</v>
      </c>
      <c r="K3" s="10"/>
    </row>
    <row r="4" spans="1:11">
      <c r="A4" s="5">
        <v>4</v>
      </c>
      <c r="B4" s="32">
        <v>45961</v>
      </c>
      <c r="C4" s="32" t="str">
        <f>"Q"&amp;INT((MONTH(OCT[[#This Row],[Invoice Date]])-1)/3)+1</f>
        <v>Q4</v>
      </c>
      <c r="D4" s="32" t="str">
        <f>TEXT(OCT[[#This Row],[Invoice Date]],"MMM")</f>
        <v>Oct</v>
      </c>
      <c r="E4" s="52" t="s">
        <v>14</v>
      </c>
      <c r="F4" s="75">
        <v>3</v>
      </c>
      <c r="G4" s="78">
        <v>12480.5</v>
      </c>
      <c r="H4" s="75"/>
      <c r="I4" s="37">
        <f>OCT[[#This Row],[Invoice Value(₦)]]-OCT[[#This Row],[Cash Received (₦)]]</f>
        <v>12480.5</v>
      </c>
      <c r="J4" s="9" t="s">
        <v>26</v>
      </c>
      <c r="K4" s="10"/>
    </row>
    <row r="5" spans="1:11" ht="29.1">
      <c r="A5" s="5">
        <v>5</v>
      </c>
      <c r="B5" s="32">
        <v>45961</v>
      </c>
      <c r="C5" s="32" t="str">
        <f>"Q"&amp;INT((MONTH(OCT[[#This Row],[Invoice Date]])-1)/3)+1</f>
        <v>Q4</v>
      </c>
      <c r="D5" s="32" t="str">
        <f>TEXT(OCT[[#This Row],[Invoice Date]],"MMM")</f>
        <v>Oct</v>
      </c>
      <c r="E5" s="53" t="s">
        <v>15</v>
      </c>
      <c r="F5" s="75">
        <v>30</v>
      </c>
      <c r="G5" s="78">
        <v>580320.9</v>
      </c>
      <c r="H5" s="75"/>
      <c r="I5" s="37">
        <f>OCT[[#This Row],[Invoice Value(₦)]]-OCT[[#This Row],[Cash Received (₦)]]</f>
        <v>580320.9</v>
      </c>
      <c r="J5" s="9" t="s">
        <v>26</v>
      </c>
      <c r="K5" s="10"/>
    </row>
    <row r="6" spans="1:11" ht="29.1">
      <c r="A6" s="5">
        <v>6</v>
      </c>
      <c r="B6" s="32">
        <v>45961</v>
      </c>
      <c r="C6" s="32" t="str">
        <f>"Q"&amp;INT((MONTH(OCT[[#This Row],[Invoice Date]])-1)/3)+1</f>
        <v>Q4</v>
      </c>
      <c r="D6" s="32" t="str">
        <f>TEXT(OCT[[#This Row],[Invoice Date]],"MMM")</f>
        <v>Oct</v>
      </c>
      <c r="E6" s="52" t="s">
        <v>16</v>
      </c>
      <c r="F6" s="75">
        <v>60</v>
      </c>
      <c r="G6" s="78">
        <v>1550480.75</v>
      </c>
      <c r="H6" s="75"/>
      <c r="I6" s="37">
        <f>OCT[[#This Row],[Invoice Value(₦)]]-OCT[[#This Row],[Cash Received (₦)]]</f>
        <v>1550480.75</v>
      </c>
      <c r="J6" s="9" t="s">
        <v>26</v>
      </c>
      <c r="K6" s="10"/>
    </row>
    <row r="7" spans="1:11" ht="16.5" customHeight="1">
      <c r="A7" s="5">
        <v>7</v>
      </c>
      <c r="B7" s="32">
        <v>45961</v>
      </c>
      <c r="C7" s="32" t="str">
        <f>"Q"&amp;INT((MONTH(OCT[[#This Row],[Invoice Date]])-1)/3)+1</f>
        <v>Q4</v>
      </c>
      <c r="D7" s="32" t="str">
        <f>TEXT(OCT[[#This Row],[Invoice Date]],"MMM")</f>
        <v>Oct</v>
      </c>
      <c r="E7" s="53" t="s">
        <v>18</v>
      </c>
      <c r="F7" s="75">
        <v>50</v>
      </c>
      <c r="G7" s="78">
        <v>1430250.8</v>
      </c>
      <c r="H7" s="75"/>
      <c r="I7" s="37">
        <f>OCT[[#This Row],[Invoice Value(₦)]]-OCT[[#This Row],[Cash Received (₦)]]</f>
        <v>1430250.8</v>
      </c>
      <c r="J7" s="13" t="s">
        <v>26</v>
      </c>
      <c r="K7" s="10"/>
    </row>
    <row r="8" spans="1:11">
      <c r="A8" s="5">
        <v>8</v>
      </c>
      <c r="B8" s="32">
        <v>45961</v>
      </c>
      <c r="C8" s="32" t="str">
        <f>"Q"&amp;INT((MONTH(OCT[[#This Row],[Invoice Date]])-1)/3)+1</f>
        <v>Q4</v>
      </c>
      <c r="D8" s="32" t="str">
        <f>TEXT(OCT[[#This Row],[Invoice Date]],"MMM")</f>
        <v>Oct</v>
      </c>
      <c r="E8" s="52" t="s">
        <v>20</v>
      </c>
      <c r="F8" s="75">
        <v>2</v>
      </c>
      <c r="G8" s="78">
        <v>25480.6</v>
      </c>
      <c r="H8" s="78">
        <v>25480.6</v>
      </c>
      <c r="I8" s="37">
        <f>OCT[[#This Row],[Invoice Value(₦)]]-OCT[[#This Row],[Cash Received (₦)]]</f>
        <v>0</v>
      </c>
      <c r="J8" s="13" t="s">
        <v>12</v>
      </c>
      <c r="K8" s="10"/>
    </row>
    <row r="9" spans="1:11">
      <c r="A9" s="5">
        <v>9</v>
      </c>
      <c r="B9" s="32">
        <v>45961</v>
      </c>
      <c r="C9" s="32" t="str">
        <f>"Q"&amp;INT((MONTH(OCT[[#This Row],[Invoice Date]])-1)/3)+1</f>
        <v>Q4</v>
      </c>
      <c r="D9" s="32" t="str">
        <f>TEXT(OCT[[#This Row],[Invoice Date]],"MMM")</f>
        <v>Oct</v>
      </c>
      <c r="E9" s="53" t="s">
        <v>21</v>
      </c>
      <c r="F9" s="75">
        <v>140</v>
      </c>
      <c r="G9" s="78">
        <v>1250480.8999999999</v>
      </c>
      <c r="H9" s="75"/>
      <c r="I9" s="37">
        <f>OCT[[#This Row],[Invoice Value(₦)]]-OCT[[#This Row],[Cash Received (₦)]]</f>
        <v>1250480.8999999999</v>
      </c>
      <c r="J9" s="15" t="s">
        <v>26</v>
      </c>
      <c r="K9" s="10"/>
    </row>
    <row r="10" spans="1:11">
      <c r="A10" s="5">
        <v>10</v>
      </c>
      <c r="B10" s="32">
        <v>45961</v>
      </c>
      <c r="C10" s="32" t="str">
        <f>"Q"&amp;INT((MONTH(OCT[[#This Row],[Invoice Date]])-1)/3)+1</f>
        <v>Q4</v>
      </c>
      <c r="D10" s="32" t="str">
        <f>TEXT(OCT[[#This Row],[Invoice Date]],"MMM")</f>
        <v>Oct</v>
      </c>
      <c r="E10" s="52" t="s">
        <v>22</v>
      </c>
      <c r="F10" s="75">
        <v>25</v>
      </c>
      <c r="G10" s="78">
        <v>1100480.6000000001</v>
      </c>
      <c r="H10" s="78">
        <v>1100480.6000000001</v>
      </c>
      <c r="I10" s="37">
        <f>OCT[[#This Row],[Invoice Value(₦)]]-OCT[[#This Row],[Cash Received (₦)]]</f>
        <v>0</v>
      </c>
      <c r="J10" s="12" t="s">
        <v>12</v>
      </c>
      <c r="K10" s="10"/>
    </row>
    <row r="11" spans="1:11">
      <c r="A11" s="5">
        <v>11</v>
      </c>
      <c r="B11" s="32">
        <v>45961</v>
      </c>
      <c r="C11" s="32" t="str">
        <f>"Q"&amp;INT((MONTH(OCT[[#This Row],[Invoice Date]])-1)/3)+1</f>
        <v>Q4</v>
      </c>
      <c r="D11" s="32" t="str">
        <f>TEXT(OCT[[#This Row],[Invoice Date]],"MMM")</f>
        <v>Oct</v>
      </c>
      <c r="E11" s="53" t="s">
        <v>23</v>
      </c>
      <c r="F11" s="75"/>
      <c r="G11" s="75"/>
      <c r="H11" s="75"/>
      <c r="I11" s="37">
        <f>OCT[[#This Row],[Invoice Value(₦)]]-OCT[[#This Row],[Cash Received (₦)]]</f>
        <v>0</v>
      </c>
      <c r="J11" s="13"/>
      <c r="K11" s="10"/>
    </row>
    <row r="12" spans="1:11">
      <c r="A12" s="5">
        <v>12</v>
      </c>
      <c r="B12" s="32">
        <v>45961</v>
      </c>
      <c r="C12" s="32" t="str">
        <f>"Q"&amp;INT((MONTH(OCT[[#This Row],[Invoice Date]])-1)/3)+1</f>
        <v>Q4</v>
      </c>
      <c r="D12" s="32" t="str">
        <f>TEXT(OCT[[#This Row],[Invoice Date]],"MMM")</f>
        <v>Oct</v>
      </c>
      <c r="E12" s="52" t="s">
        <v>24</v>
      </c>
      <c r="F12" s="75">
        <v>20</v>
      </c>
      <c r="G12" s="78">
        <v>620480.75</v>
      </c>
      <c r="H12" s="75"/>
      <c r="I12" s="37">
        <f>OCT[[#This Row],[Invoice Value(₦)]]-OCT[[#This Row],[Cash Received (₦)]]</f>
        <v>620480.75</v>
      </c>
      <c r="J12" s="12"/>
      <c r="K12" s="10"/>
    </row>
    <row r="13" spans="1:11" ht="18.600000000000001">
      <c r="A13" s="16"/>
      <c r="B13" s="17"/>
      <c r="C13" s="36"/>
      <c r="D13" s="36"/>
      <c r="E13" s="18" t="s">
        <v>25</v>
      </c>
      <c r="F13" s="27">
        <f t="shared" ref="F13:I13" si="0">SUM(F2:F12)</f>
        <v>347</v>
      </c>
      <c r="G13" s="24">
        <f t="shared" si="0"/>
        <v>19821187.199999999</v>
      </c>
      <c r="H13" s="24">
        <f t="shared" si="0"/>
        <v>7456081.5999999996</v>
      </c>
      <c r="I13" s="24">
        <f t="shared" si="0"/>
        <v>12365105.6</v>
      </c>
      <c r="J13" s="19"/>
      <c r="K13" s="21"/>
    </row>
  </sheetData>
  <conditionalFormatting sqref="I2:I12">
    <cfRule type="cellIs" dxfId="44" priority="7" operator="greaterThan">
      <formula>0</formula>
    </cfRule>
  </conditionalFormatting>
  <conditionalFormatting sqref="J2:J1048576">
    <cfRule type="cellIs" dxfId="43" priority="2" operator="equal">
      <formula>"PAID BUT NOT INVOICED"</formula>
    </cfRule>
    <cfRule type="cellIs" dxfId="42" priority="3" operator="equal">
      <formula>"PART PAYMENT"</formula>
    </cfRule>
    <cfRule type="cellIs" dxfId="41" priority="4" operator="equal">
      <formula>"NOT PAID"</formula>
    </cfRule>
    <cfRule type="cellIs" dxfId="40" priority="5" operator="equal">
      <formula>"PAID"</formula>
    </cfRule>
  </conditionalFormatting>
  <dataValidations count="1">
    <dataValidation type="list" allowBlank="1" showInputMessage="1" showErrorMessage="1" sqref="J2:J12" xr:uid="{4A9007DD-8ACB-4525-809D-41015C2BE7B2}">
      <formula1>"PAID, NOT PAID, PART PAYMENT, PAID BUT NOT INVOICED, NO ORDER"</formula1>
    </dataValidation>
  </dataValidation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2FEAD-DD0A-4610-8C5E-C06EE43892B9}">
  <dimension ref="A1:K19"/>
  <sheetViews>
    <sheetView zoomScale="92" workbookViewId="0">
      <selection activeCell="C1" sqref="C1"/>
    </sheetView>
  </sheetViews>
  <sheetFormatPr defaultRowHeight="14.45"/>
  <cols>
    <col min="2" max="4" width="14.28515625" customWidth="1"/>
    <col min="5" max="5" width="19" customWidth="1"/>
    <col min="6" max="6" width="17.7109375" customWidth="1"/>
    <col min="7" max="7" width="22.28515625" customWidth="1"/>
    <col min="8" max="8" width="19" customWidth="1"/>
    <col min="9" max="9" width="22.140625" style="38" customWidth="1"/>
    <col min="10" max="10" width="24.42578125" customWidth="1"/>
    <col min="11" max="11" width="19.7109375" customWidth="1"/>
  </cols>
  <sheetData>
    <row r="1" spans="1:11">
      <c r="A1" s="48" t="s">
        <v>0</v>
      </c>
      <c r="B1" s="49" t="s">
        <v>1</v>
      </c>
      <c r="C1" s="48" t="s">
        <v>2</v>
      </c>
      <c r="D1" s="48" t="s">
        <v>3</v>
      </c>
      <c r="E1" s="48" t="s">
        <v>4</v>
      </c>
      <c r="F1" s="48" t="s">
        <v>5</v>
      </c>
      <c r="G1" s="49" t="s">
        <v>6</v>
      </c>
      <c r="H1" s="49" t="s">
        <v>7</v>
      </c>
      <c r="I1" s="49" t="s">
        <v>8</v>
      </c>
      <c r="J1" s="48" t="s">
        <v>9</v>
      </c>
      <c r="K1" s="49" t="s">
        <v>10</v>
      </c>
    </row>
    <row r="2" spans="1:11" ht="31.9" customHeight="1">
      <c r="A2" s="5">
        <v>1</v>
      </c>
      <c r="B2" s="32">
        <v>45991</v>
      </c>
      <c r="C2" s="32" t="str">
        <f>"Q"&amp;INT((MONTH(NOV[[#This Row],[Invoice Date]])-1)/3)+1</f>
        <v>Q4</v>
      </c>
      <c r="D2" s="32" t="str">
        <f>TEXT(NOV[[#This Row],[Invoice Date]],"MMM")</f>
        <v>Nov</v>
      </c>
      <c r="E2" s="52" t="s">
        <v>11</v>
      </c>
      <c r="F2" s="75">
        <v>20</v>
      </c>
      <c r="G2" s="78">
        <v>2550480.75</v>
      </c>
      <c r="H2" s="75"/>
      <c r="I2" s="37">
        <f>NOV[[#This Row],[Invoice Value(₦)]]-NOV[[#This Row],[Cash Received (₦)]]</f>
        <v>2550480.75</v>
      </c>
      <c r="J2" s="9" t="s">
        <v>26</v>
      </c>
      <c r="K2" s="10"/>
    </row>
    <row r="3" spans="1:11">
      <c r="A3" s="5">
        <v>3</v>
      </c>
      <c r="B3" s="32">
        <v>45991</v>
      </c>
      <c r="C3" s="32" t="str">
        <f>"Q"&amp;INT((MONTH(NOV[[#This Row],[Invoice Date]])-1)/3)+1</f>
        <v>Q4</v>
      </c>
      <c r="D3" s="32" t="str">
        <f>TEXT(NOV[[#This Row],[Invoice Date]],"MMM")</f>
        <v>Nov</v>
      </c>
      <c r="E3" s="53" t="s">
        <v>13</v>
      </c>
      <c r="F3" s="75">
        <v>5</v>
      </c>
      <c r="G3" s="78">
        <v>11100250.800000001</v>
      </c>
      <c r="H3" s="78">
        <v>6350480.9000000004</v>
      </c>
      <c r="I3" s="37">
        <f>NOV[[#This Row],[Invoice Value(₦)]]-NOV[[#This Row],[Cash Received (₦)]]</f>
        <v>4749769.9000000004</v>
      </c>
      <c r="J3" s="13" t="s">
        <v>26</v>
      </c>
      <c r="K3" s="10"/>
    </row>
    <row r="4" spans="1:11">
      <c r="A4" s="5">
        <v>4</v>
      </c>
      <c r="B4" s="32">
        <v>45991</v>
      </c>
      <c r="C4" s="32" t="str">
        <f>"Q"&amp;INT((MONTH(NOV[[#This Row],[Invoice Date]])-1)/3)+1</f>
        <v>Q4</v>
      </c>
      <c r="D4" s="32" t="str">
        <f>TEXT(NOV[[#This Row],[Invoice Date]],"MMM")</f>
        <v>Nov</v>
      </c>
      <c r="E4" s="52" t="s">
        <v>14</v>
      </c>
      <c r="F4" s="75"/>
      <c r="G4" s="75"/>
      <c r="H4" s="75"/>
      <c r="I4" s="37">
        <f>NOV[[#This Row],[Invoice Value(₦)]]-NOV[[#This Row],[Cash Received (₦)]]</f>
        <v>0</v>
      </c>
      <c r="J4" s="9"/>
      <c r="K4" s="10"/>
    </row>
    <row r="5" spans="1:11" ht="29.1">
      <c r="A5" s="5">
        <v>5</v>
      </c>
      <c r="B5" s="32">
        <v>45991</v>
      </c>
      <c r="C5" s="32" t="str">
        <f>"Q"&amp;INT((MONTH(NOV[[#This Row],[Invoice Date]])-1)/3)+1</f>
        <v>Q4</v>
      </c>
      <c r="D5" s="32" t="str">
        <f>TEXT(NOV[[#This Row],[Invoice Date]],"MMM")</f>
        <v>Nov</v>
      </c>
      <c r="E5" s="53" t="s">
        <v>15</v>
      </c>
      <c r="F5" s="75">
        <v>30</v>
      </c>
      <c r="G5" s="78">
        <v>550480.6</v>
      </c>
      <c r="H5" s="75"/>
      <c r="I5" s="37">
        <f>NOV[[#This Row],[Invoice Value(₦)]]-NOV[[#This Row],[Cash Received (₦)]]</f>
        <v>550480.6</v>
      </c>
      <c r="J5" s="13" t="s">
        <v>26</v>
      </c>
      <c r="K5" s="10"/>
    </row>
    <row r="6" spans="1:11" ht="29.1">
      <c r="A6" s="5">
        <v>6</v>
      </c>
      <c r="B6" s="32">
        <v>45991</v>
      </c>
      <c r="C6" s="32" t="str">
        <f>"Q"&amp;INT((MONTH(NOV[[#This Row],[Invoice Date]])-1)/3)+1</f>
        <v>Q4</v>
      </c>
      <c r="D6" s="32" t="str">
        <f>TEXT(NOV[[#This Row],[Invoice Date]],"MMM")</f>
        <v>Nov</v>
      </c>
      <c r="E6" s="52" t="s">
        <v>16</v>
      </c>
      <c r="F6" s="75">
        <v>55</v>
      </c>
      <c r="G6" s="78">
        <v>1200480.8999999999</v>
      </c>
      <c r="H6" s="75"/>
      <c r="I6" s="37">
        <f>NOV[[#This Row],[Invoice Value(₦)]]-NOV[[#This Row],[Cash Received (₦)]]</f>
        <v>1200480.8999999999</v>
      </c>
      <c r="J6" s="9" t="s">
        <v>26</v>
      </c>
      <c r="K6" s="10"/>
    </row>
    <row r="7" spans="1:11" ht="16.5" customHeight="1">
      <c r="A7" s="5">
        <v>7</v>
      </c>
      <c r="B7" s="32">
        <v>45991</v>
      </c>
      <c r="C7" s="32" t="str">
        <f>"Q"&amp;INT((MONTH(NOV[[#This Row],[Invoice Date]])-1)/3)+1</f>
        <v>Q4</v>
      </c>
      <c r="D7" s="32" t="str">
        <f>TEXT(NOV[[#This Row],[Invoice Date]],"MMM")</f>
        <v>Nov</v>
      </c>
      <c r="E7" s="53" t="s">
        <v>18</v>
      </c>
      <c r="F7" s="75">
        <v>85</v>
      </c>
      <c r="G7" s="78">
        <v>2780250.8</v>
      </c>
      <c r="H7" s="75"/>
      <c r="I7" s="37">
        <f>NOV[[#This Row],[Invoice Value(₦)]]-NOV[[#This Row],[Cash Received (₦)]]</f>
        <v>2780250.8</v>
      </c>
      <c r="J7" s="13" t="s">
        <v>26</v>
      </c>
      <c r="K7" s="10"/>
    </row>
    <row r="8" spans="1:11">
      <c r="A8" s="5">
        <v>8</v>
      </c>
      <c r="B8" s="32">
        <v>45991</v>
      </c>
      <c r="C8" s="32" t="str">
        <f>"Q"&amp;INT((MONTH(NOV[[#This Row],[Invoice Date]])-1)/3)+1</f>
        <v>Q4</v>
      </c>
      <c r="D8" s="32" t="str">
        <f>TEXT(NOV[[#This Row],[Invoice Date]],"MMM")</f>
        <v>Nov</v>
      </c>
      <c r="E8" s="52" t="s">
        <v>20</v>
      </c>
      <c r="F8" s="75">
        <v>3</v>
      </c>
      <c r="G8" s="78">
        <v>25480.6</v>
      </c>
      <c r="H8" s="75"/>
      <c r="I8" s="37">
        <f>NOV[[#This Row],[Invoice Value(₦)]]-NOV[[#This Row],[Cash Received (₦)]]</f>
        <v>25480.6</v>
      </c>
      <c r="J8" s="13" t="s">
        <v>26</v>
      </c>
      <c r="K8" s="10"/>
    </row>
    <row r="9" spans="1:11">
      <c r="A9" s="5">
        <v>9</v>
      </c>
      <c r="B9" s="32">
        <v>45991</v>
      </c>
      <c r="C9" s="32" t="str">
        <f>"Q"&amp;INT((MONTH(NOV[[#This Row],[Invoice Date]])-1)/3)+1</f>
        <v>Q4</v>
      </c>
      <c r="D9" s="32" t="str">
        <f>TEXT(NOV[[#This Row],[Invoice Date]],"MMM")</f>
        <v>Nov</v>
      </c>
      <c r="E9" s="53" t="s">
        <v>21</v>
      </c>
      <c r="F9" s="75">
        <v>120</v>
      </c>
      <c r="G9" s="78">
        <v>1100480.75</v>
      </c>
      <c r="H9" s="75"/>
      <c r="I9" s="37">
        <f>NOV[[#This Row],[Invoice Value(₦)]]-NOV[[#This Row],[Cash Received (₦)]]</f>
        <v>1100480.75</v>
      </c>
      <c r="J9" s="13" t="s">
        <v>26</v>
      </c>
      <c r="K9" s="10"/>
    </row>
    <row r="10" spans="1:11">
      <c r="A10" s="5">
        <v>10</v>
      </c>
      <c r="B10" s="32">
        <v>45991</v>
      </c>
      <c r="C10" s="32" t="str">
        <f>"Q"&amp;INT((MONTH(NOV[[#This Row],[Invoice Date]])-1)/3)+1</f>
        <v>Q4</v>
      </c>
      <c r="D10" s="32" t="str">
        <f>TEXT(NOV[[#This Row],[Invoice Date]],"MMM")</f>
        <v>Nov</v>
      </c>
      <c r="E10" s="52" t="s">
        <v>22</v>
      </c>
      <c r="F10" s="75">
        <v>45</v>
      </c>
      <c r="G10" s="78">
        <v>900480.6</v>
      </c>
      <c r="H10" s="78">
        <v>900480.6</v>
      </c>
      <c r="I10" s="37">
        <f>NOV[[#This Row],[Invoice Value(₦)]]-NOV[[#This Row],[Cash Received (₦)]]</f>
        <v>0</v>
      </c>
      <c r="J10" s="12" t="s">
        <v>12</v>
      </c>
      <c r="K10" s="10"/>
    </row>
    <row r="11" spans="1:11">
      <c r="A11" s="5">
        <v>11</v>
      </c>
      <c r="B11" s="32">
        <v>45991</v>
      </c>
      <c r="C11" s="32" t="str">
        <f>"Q"&amp;INT((MONTH(NOV[[#This Row],[Invoice Date]])-1)/3)+1</f>
        <v>Q4</v>
      </c>
      <c r="D11" s="32" t="str">
        <f>TEXT(NOV[[#This Row],[Invoice Date]],"MMM")</f>
        <v>Nov</v>
      </c>
      <c r="E11" s="53" t="s">
        <v>23</v>
      </c>
      <c r="F11" s="75"/>
      <c r="G11" s="78">
        <v>690480.75</v>
      </c>
      <c r="H11" s="78">
        <v>125480.6</v>
      </c>
      <c r="I11" s="37">
        <f>NOV[[#This Row],[Invoice Value(₦)]]-NOV[[#This Row],[Cash Received (₦)]]</f>
        <v>565000.15</v>
      </c>
      <c r="J11" s="13"/>
      <c r="K11" s="10"/>
    </row>
    <row r="12" spans="1:11">
      <c r="A12" s="5">
        <v>12</v>
      </c>
      <c r="B12" s="32">
        <v>45991</v>
      </c>
      <c r="C12" s="32" t="str">
        <f>"Q"&amp;INT((MONTH(NOV[[#This Row],[Invoice Date]])-1)/3)+1</f>
        <v>Q4</v>
      </c>
      <c r="D12" s="32" t="str">
        <f>TEXT(NOV[[#This Row],[Invoice Date]],"MMM")</f>
        <v>Nov</v>
      </c>
      <c r="E12" s="52" t="s">
        <v>24</v>
      </c>
      <c r="F12" s="75">
        <v>15</v>
      </c>
      <c r="G12" s="78">
        <v>420480.6</v>
      </c>
      <c r="H12" s="78">
        <v>325480.5</v>
      </c>
      <c r="I12" s="37">
        <f>NOV[[#This Row],[Invoice Value(₦)]]-NOV[[#This Row],[Cash Received (₦)]]</f>
        <v>95000.099999999977</v>
      </c>
      <c r="J12" s="12" t="s">
        <v>17</v>
      </c>
      <c r="K12" s="10"/>
    </row>
    <row r="13" spans="1:11" ht="29.1">
      <c r="A13" s="5">
        <v>13</v>
      </c>
      <c r="B13" s="32">
        <v>45991</v>
      </c>
      <c r="C13" s="32" t="str">
        <f>"Q"&amp;INT((MONTH(NOV[[#This Row],[Invoice Date]])-1)/3)+1</f>
        <v>Q4</v>
      </c>
      <c r="D13" s="32" t="str">
        <f>TEXT(NOV[[#This Row],[Invoice Date]],"MMM")</f>
        <v>Nov</v>
      </c>
      <c r="E13" s="10" t="s">
        <v>29</v>
      </c>
      <c r="F13">
        <v>15</v>
      </c>
      <c r="G13" s="77">
        <v>420480.6</v>
      </c>
      <c r="H13" s="77">
        <v>325480.5</v>
      </c>
      <c r="I13" s="37">
        <f>NOV[[#This Row],[Invoice Value(₦)]]-NOV[[#This Row],[Cash Received (₦)]]</f>
        <v>95000.099999999977</v>
      </c>
      <c r="J13" s="46" t="s">
        <v>17</v>
      </c>
      <c r="K13" s="10"/>
    </row>
    <row r="14" spans="1:11" ht="18.600000000000001">
      <c r="A14" s="16"/>
      <c r="B14" s="17"/>
      <c r="C14" s="36"/>
      <c r="D14" s="36"/>
      <c r="E14" s="18" t="s">
        <v>25</v>
      </c>
      <c r="F14" s="27">
        <f>SUM(F2:F13)</f>
        <v>393</v>
      </c>
      <c r="G14" s="24">
        <f>SUM(G2:G13)</f>
        <v>21739827.750000007</v>
      </c>
      <c r="H14" s="24">
        <f>SUM(H2:H13)</f>
        <v>8027403.0999999996</v>
      </c>
      <c r="I14" s="24">
        <f>SUM(I2:I13)</f>
        <v>13712424.649999999</v>
      </c>
      <c r="J14" s="19"/>
      <c r="K14" s="21"/>
    </row>
    <row r="18" spans="7:7">
      <c r="G18" s="77"/>
    </row>
    <row r="19" spans="7:7">
      <c r="G19" s="77"/>
    </row>
  </sheetData>
  <conditionalFormatting sqref="I2:I13">
    <cfRule type="cellIs" dxfId="31" priority="6" operator="greaterThan">
      <formula>0</formula>
    </cfRule>
  </conditionalFormatting>
  <conditionalFormatting sqref="J2:J15 J17:J1048576">
    <cfRule type="cellIs" dxfId="30" priority="1" operator="equal">
      <formula>"PAID BUT NOT INVOICED"</formula>
    </cfRule>
    <cfRule type="cellIs" dxfId="29" priority="2" operator="equal">
      <formula>"PART PAYMENT"</formula>
    </cfRule>
    <cfRule type="cellIs" dxfId="28" priority="3" operator="equal">
      <formula>"NOT PAID"</formula>
    </cfRule>
    <cfRule type="cellIs" dxfId="27" priority="4" operator="equal">
      <formula>"PAID"</formula>
    </cfRule>
  </conditionalFormatting>
  <dataValidations count="1">
    <dataValidation type="list" allowBlank="1" showInputMessage="1" showErrorMessage="1" sqref="J2:J13" xr:uid="{8F7C504F-4ABE-48C2-A4B5-1EA1E3C9B15D}">
      <formula1>"PAID, NOT PAID, PART PAYMENT, PAID BUT NOT INVOICED, NO ORDER"</formula1>
    </dataValidation>
  </dataValidation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46380-236E-410F-A38B-2E95B9E4AE4A}">
  <dimension ref="A1:K14"/>
  <sheetViews>
    <sheetView zoomScale="92" workbookViewId="0">
      <selection activeCell="C7" sqref="C7"/>
    </sheetView>
  </sheetViews>
  <sheetFormatPr defaultRowHeight="14.45"/>
  <cols>
    <col min="2" max="4" width="14.28515625" customWidth="1"/>
    <col min="5" max="5" width="19" customWidth="1"/>
    <col min="6" max="6" width="17.7109375" customWidth="1"/>
    <col min="7" max="7" width="22.28515625" customWidth="1"/>
    <col min="8" max="8" width="19" customWidth="1"/>
    <col min="9" max="9" width="22.140625" style="38" customWidth="1"/>
    <col min="10" max="10" width="24.42578125" customWidth="1"/>
    <col min="11" max="11" width="19.7109375" customWidth="1"/>
  </cols>
  <sheetData>
    <row r="1" spans="1:11">
      <c r="A1" s="48" t="s">
        <v>0</v>
      </c>
      <c r="B1" s="49" t="s">
        <v>1</v>
      </c>
      <c r="C1" s="48" t="s">
        <v>2</v>
      </c>
      <c r="D1" s="48" t="s">
        <v>3</v>
      </c>
      <c r="E1" s="48" t="s">
        <v>4</v>
      </c>
      <c r="F1" s="48" t="s">
        <v>5</v>
      </c>
      <c r="G1" s="49" t="s">
        <v>6</v>
      </c>
      <c r="H1" s="49" t="s">
        <v>7</v>
      </c>
      <c r="I1" s="49" t="s">
        <v>8</v>
      </c>
      <c r="J1" s="48" t="s">
        <v>9</v>
      </c>
      <c r="K1" s="49" t="s">
        <v>10</v>
      </c>
    </row>
    <row r="2" spans="1:11" ht="31.9" customHeight="1">
      <c r="A2" s="5"/>
      <c r="B2" s="32"/>
      <c r="C2" s="32" t="str">
        <f>"Q"&amp;INT((MONTH(Table245131514[[#This Row],[Invoice Date]])-1)/3)+1</f>
        <v>Q1</v>
      </c>
      <c r="D2" s="32" t="str">
        <f>TEXT(Table245131514[[#This Row],[Invoice Date]],"MMM")</f>
        <v>Jan</v>
      </c>
      <c r="E2" s="52"/>
      <c r="F2" s="5"/>
      <c r="G2" s="23"/>
      <c r="H2" s="22"/>
      <c r="I2" s="37">
        <f>Table245131514[[#This Row],[Invoice Value(₦)]]-Table245131514[[#This Row],[Cash Received (₦)]]</f>
        <v>0</v>
      </c>
      <c r="J2" s="9"/>
      <c r="K2" s="10"/>
    </row>
    <row r="3" spans="1:11">
      <c r="A3" s="5"/>
      <c r="B3" s="32"/>
      <c r="C3" s="32" t="str">
        <f>"Q"&amp;INT((MONTH(Table245131514[[#This Row],[Invoice Date]])-1)/3)+1</f>
        <v>Q1</v>
      </c>
      <c r="D3" s="32" t="str">
        <f>TEXT(Table245131514[[#This Row],[Invoice Date]],"MMM")</f>
        <v>Jan</v>
      </c>
      <c r="E3" s="53"/>
      <c r="F3" s="5"/>
      <c r="G3" s="23"/>
      <c r="H3" s="22"/>
      <c r="I3" s="37">
        <f>Table245131514[[#This Row],[Invoice Value(₦)]]-Table245131514[[#This Row],[Cash Received (₦)]]</f>
        <v>0</v>
      </c>
      <c r="J3" s="13"/>
      <c r="K3" s="10"/>
    </row>
    <row r="4" spans="1:11">
      <c r="A4" s="5"/>
      <c r="B4" s="32"/>
      <c r="C4" s="32" t="str">
        <f>"Q"&amp;INT((MONTH(Table245131514[[#This Row],[Invoice Date]])-1)/3)+1</f>
        <v>Q1</v>
      </c>
      <c r="D4" s="32" t="str">
        <f>TEXT(Table245131514[[#This Row],[Invoice Date]],"MMM")</f>
        <v>Jan</v>
      </c>
      <c r="E4" s="52"/>
      <c r="F4" s="5"/>
      <c r="G4" s="23"/>
      <c r="H4" s="22"/>
      <c r="I4" s="37">
        <f>Table245131514[[#This Row],[Invoice Value(₦)]]-Table245131514[[#This Row],[Cash Received (₦)]]</f>
        <v>0</v>
      </c>
      <c r="J4" s="9"/>
      <c r="K4" s="10"/>
    </row>
    <row r="5" spans="1:11">
      <c r="A5" s="5"/>
      <c r="B5" s="32"/>
      <c r="C5" s="32" t="str">
        <f>"Q"&amp;INT((MONTH(Table245131514[[#This Row],[Invoice Date]])-1)/3)+1</f>
        <v>Q1</v>
      </c>
      <c r="D5" s="32" t="str">
        <f>TEXT(Table245131514[[#This Row],[Invoice Date]],"MMM")</f>
        <v>Jan</v>
      </c>
      <c r="E5" s="53"/>
      <c r="F5" s="5"/>
      <c r="G5" s="23"/>
      <c r="H5" s="22"/>
      <c r="I5" s="37">
        <f>Table245131514[[#This Row],[Invoice Value(₦)]]-Table245131514[[#This Row],[Cash Received (₦)]]</f>
        <v>0</v>
      </c>
      <c r="J5" s="13"/>
      <c r="K5" s="10"/>
    </row>
    <row r="6" spans="1:11">
      <c r="A6" s="5"/>
      <c r="B6" s="32"/>
      <c r="C6" s="32" t="str">
        <f>"Q"&amp;INT((MONTH(Table245131514[[#This Row],[Invoice Date]])-1)/3)+1</f>
        <v>Q1</v>
      </c>
      <c r="D6" s="32" t="str">
        <f>TEXT(Table245131514[[#This Row],[Invoice Date]],"MMM")</f>
        <v>Jan</v>
      </c>
      <c r="E6" s="52"/>
      <c r="F6" s="5"/>
      <c r="G6" s="23"/>
      <c r="H6" s="22"/>
      <c r="I6" s="37">
        <f>Table245131514[[#This Row],[Invoice Value(₦)]]-Table245131514[[#This Row],[Cash Received (₦)]]</f>
        <v>0</v>
      </c>
      <c r="J6" s="9"/>
      <c r="K6" s="10"/>
    </row>
    <row r="7" spans="1:11" ht="16.5" customHeight="1">
      <c r="A7" s="5"/>
      <c r="B7" s="32"/>
      <c r="C7" s="32" t="str">
        <f>"Q"&amp;INT((MONTH(Table245131514[[#This Row],[Invoice Date]])-1)/3)+1</f>
        <v>Q1</v>
      </c>
      <c r="D7" s="32" t="str">
        <f>TEXT(Table245131514[[#This Row],[Invoice Date]],"MMM")</f>
        <v>Jan</v>
      </c>
      <c r="E7" s="53"/>
      <c r="F7" s="5"/>
      <c r="G7" s="23"/>
      <c r="H7" s="22"/>
      <c r="I7" s="37">
        <f>Table245131514[[#This Row],[Invoice Value(₦)]]-Table245131514[[#This Row],[Cash Received (₦)]]</f>
        <v>0</v>
      </c>
      <c r="J7" s="13"/>
      <c r="K7" s="10"/>
    </row>
    <row r="8" spans="1:11">
      <c r="A8" s="5"/>
      <c r="B8" s="32"/>
      <c r="C8" s="32" t="str">
        <f>"Q"&amp;INT((MONTH(Table245131514[[#This Row],[Invoice Date]])-1)/3)+1</f>
        <v>Q1</v>
      </c>
      <c r="D8" s="32" t="str">
        <f>TEXT(Table245131514[[#This Row],[Invoice Date]],"MMM")</f>
        <v>Jan</v>
      </c>
      <c r="E8" s="52"/>
      <c r="F8" s="5"/>
      <c r="G8" s="22"/>
      <c r="H8" s="22"/>
      <c r="I8" s="37">
        <f>Table245131514[[#This Row],[Invoice Value(₦)]]-Table245131514[[#This Row],[Cash Received (₦)]]</f>
        <v>0</v>
      </c>
      <c r="J8" s="13"/>
      <c r="K8" s="10"/>
    </row>
    <row r="9" spans="1:11">
      <c r="A9" s="5"/>
      <c r="B9" s="32"/>
      <c r="C9" s="32" t="str">
        <f>"Q"&amp;INT((MONTH(Table245131514[[#This Row],[Invoice Date]])-1)/3)+1</f>
        <v>Q1</v>
      </c>
      <c r="D9" s="32" t="str">
        <f>TEXT(Table245131514[[#This Row],[Invoice Date]],"MMM")</f>
        <v>Jan</v>
      </c>
      <c r="E9" s="53"/>
      <c r="F9" s="5"/>
      <c r="G9" s="22"/>
      <c r="H9" s="22"/>
      <c r="I9" s="37">
        <f>Table245131514[[#This Row],[Invoice Value(₦)]]-Table245131514[[#This Row],[Cash Received (₦)]]</f>
        <v>0</v>
      </c>
      <c r="J9" s="13"/>
      <c r="K9" s="10"/>
    </row>
    <row r="10" spans="1:11">
      <c r="A10" s="5"/>
      <c r="B10" s="32"/>
      <c r="C10" s="32" t="str">
        <f>"Q"&amp;INT((MONTH(Table245131514[[#This Row],[Invoice Date]])-1)/3)+1</f>
        <v>Q1</v>
      </c>
      <c r="D10" s="32" t="str">
        <f>TEXT(Table245131514[[#This Row],[Invoice Date]],"MMM")</f>
        <v>Jan</v>
      </c>
      <c r="E10" s="52"/>
      <c r="F10" s="5"/>
      <c r="G10" s="47"/>
      <c r="H10" s="47"/>
      <c r="I10" s="37">
        <f>Table245131514[[#This Row],[Invoice Value(₦)]]-Table245131514[[#This Row],[Cash Received (₦)]]</f>
        <v>0</v>
      </c>
      <c r="J10" s="12"/>
      <c r="K10" s="10"/>
    </row>
    <row r="11" spans="1:11">
      <c r="A11" s="5"/>
      <c r="B11" s="32"/>
      <c r="C11" s="32" t="str">
        <f>"Q"&amp;INT((MONTH(Table245131514[[#This Row],[Invoice Date]])-1)/3)+1</f>
        <v>Q1</v>
      </c>
      <c r="D11" s="32" t="str">
        <f>TEXT(Table245131514[[#This Row],[Invoice Date]],"MMM")</f>
        <v>Jan</v>
      </c>
      <c r="E11" s="53"/>
      <c r="F11" s="5"/>
      <c r="G11" s="22"/>
      <c r="H11" s="22"/>
      <c r="I11" s="37">
        <f>Table245131514[[#This Row],[Invoice Value(₦)]]-Table245131514[[#This Row],[Cash Received (₦)]]</f>
        <v>0</v>
      </c>
      <c r="J11" s="13"/>
      <c r="K11" s="10"/>
    </row>
    <row r="12" spans="1:11">
      <c r="A12" s="5"/>
      <c r="B12" s="32"/>
      <c r="C12" s="32" t="str">
        <f>"Q"&amp;INT((MONTH(Table245131514[[#This Row],[Invoice Date]])-1)/3)+1</f>
        <v>Q1</v>
      </c>
      <c r="D12" s="32" t="str">
        <f>TEXT(Table245131514[[#This Row],[Invoice Date]],"MMM")</f>
        <v>Jan</v>
      </c>
      <c r="E12" s="52"/>
      <c r="F12" s="5"/>
      <c r="G12" s="22"/>
      <c r="H12" s="22"/>
      <c r="I12" s="37">
        <f>Table245131514[[#This Row],[Invoice Value(₦)]]-Table245131514[[#This Row],[Cash Received (₦)]]</f>
        <v>0</v>
      </c>
      <c r="J12" s="12"/>
      <c r="K12" s="10"/>
    </row>
    <row r="13" spans="1:11">
      <c r="A13" s="5"/>
      <c r="B13" s="32"/>
      <c r="C13" s="32" t="str">
        <f>"Q"&amp;INT((MONTH(Table245131514[[#This Row],[Invoice Date]])-1)/3)+1</f>
        <v>Q1</v>
      </c>
      <c r="D13" s="32" t="str">
        <f>TEXT(Table245131514[[#This Row],[Invoice Date]],"MMM")</f>
        <v>Jan</v>
      </c>
      <c r="E13" s="5"/>
      <c r="F13" s="5"/>
      <c r="G13" s="45"/>
      <c r="H13" s="45"/>
      <c r="I13" s="37">
        <f>Table245131514[[#This Row],[Invoice Value(₦)]]-Table245131514[[#This Row],[Cash Received (₦)]]</f>
        <v>0</v>
      </c>
      <c r="J13" s="46"/>
      <c r="K13" s="10"/>
    </row>
    <row r="14" spans="1:11" ht="18.600000000000001">
      <c r="A14" s="16"/>
      <c r="B14" s="17"/>
      <c r="C14" s="36"/>
      <c r="D14" s="36"/>
      <c r="E14" s="18" t="s">
        <v>25</v>
      </c>
      <c r="F14" s="27">
        <f>SUM(F2:F12)</f>
        <v>0</v>
      </c>
      <c r="G14" s="24">
        <f>SUM(G2:G12)</f>
        <v>0</v>
      </c>
      <c r="H14" s="24">
        <f>SUM(H2:H12)</f>
        <v>0</v>
      </c>
      <c r="I14" s="24">
        <f>SUM(I2:I12)</f>
        <v>0</v>
      </c>
      <c r="J14" s="19"/>
      <c r="K14" s="21"/>
    </row>
  </sheetData>
  <conditionalFormatting sqref="I2:I14">
    <cfRule type="cellIs" dxfId="15" priority="5" operator="greaterThan">
      <formula>0</formula>
    </cfRule>
  </conditionalFormatting>
  <conditionalFormatting sqref="J2:J1048576">
    <cfRule type="cellIs" dxfId="14" priority="1" operator="equal">
      <formula>"PAID BUT NOT INVOICED"</formula>
    </cfRule>
    <cfRule type="cellIs" dxfId="13" priority="2" operator="equal">
      <formula>"PART PAYMENT"</formula>
    </cfRule>
    <cfRule type="cellIs" dxfId="12" priority="3" operator="equal">
      <formula>"NOT PAID"</formula>
    </cfRule>
    <cfRule type="cellIs" dxfId="11" priority="4" operator="equal">
      <formula>"PAID"</formula>
    </cfRule>
  </conditionalFormatting>
  <dataValidations count="1">
    <dataValidation type="list" allowBlank="1" showInputMessage="1" showErrorMessage="1" sqref="J2:J14" xr:uid="{18D851BB-A41F-4EB1-9BD3-2482A5180A70}">
      <formula1>"PAID, NOT PAID, PART PAYMENT, PAID BUT NOT INVOICED, NO ORDER"</formula1>
    </dataValidation>
  </dataValidation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06E72-5D9D-4A56-8666-7D318AE947E6}">
  <dimension ref="A3:B20"/>
  <sheetViews>
    <sheetView topLeftCell="A4" zoomScale="72" workbookViewId="0">
      <selection activeCell="A4" sqref="A4"/>
    </sheetView>
  </sheetViews>
  <sheetFormatPr defaultRowHeight="14.45"/>
  <cols>
    <col min="1" max="1" width="29.28515625" bestFit="1" customWidth="1"/>
    <col min="2" max="2" width="23.5703125" style="31" bestFit="1" customWidth="1"/>
  </cols>
  <sheetData>
    <row r="3" spans="1:2">
      <c r="A3" t="s">
        <v>30</v>
      </c>
      <c r="B3" t="s">
        <v>31</v>
      </c>
    </row>
    <row r="4" spans="1:2">
      <c r="A4" s="31">
        <v>43829243.75</v>
      </c>
      <c r="B4" s="31">
        <v>137777974.59999996</v>
      </c>
    </row>
    <row r="5" spans="1:2">
      <c r="B5"/>
    </row>
    <row r="6" spans="1:2">
      <c r="B6"/>
    </row>
    <row r="7" spans="1:2">
      <c r="A7" s="73" t="str">
        <f>B3</f>
        <v>Sum of Cash Received (₦)</v>
      </c>
      <c r="B7" s="74">
        <f>GETPIVOTDATA("Sum of Cash Received (₦)",$A$3)</f>
        <v>137777974.59999996</v>
      </c>
    </row>
    <row r="8" spans="1:2">
      <c r="A8" s="73" t="str">
        <f>A3</f>
        <v>Sum of Outstanding Balance (₦)</v>
      </c>
      <c r="B8" s="74">
        <f>GETPIVOTDATA("Sum of Outstanding Balance (₦)",$A$3)</f>
        <v>43829243.75</v>
      </c>
    </row>
    <row r="9" spans="1:2">
      <c r="B9"/>
    </row>
    <row r="10" spans="1:2">
      <c r="B10"/>
    </row>
    <row r="11" spans="1:2">
      <c r="B11"/>
    </row>
    <row r="12" spans="1:2">
      <c r="B12"/>
    </row>
    <row r="13" spans="1:2">
      <c r="B13"/>
    </row>
    <row r="14" spans="1:2">
      <c r="B14"/>
    </row>
    <row r="15" spans="1:2">
      <c r="B15"/>
    </row>
    <row r="16" spans="1:2">
      <c r="B16"/>
    </row>
    <row r="17" spans="2:2">
      <c r="B17"/>
    </row>
    <row r="18" spans="2:2">
      <c r="B18"/>
    </row>
    <row r="19" spans="2:2">
      <c r="B19"/>
    </row>
    <row r="20" spans="2:2">
      <c r="B20"/>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F7ABF-70E2-448D-BE79-86C3D9EC9D2E}">
  <dimension ref="A3:C20"/>
  <sheetViews>
    <sheetView workbookViewId="0">
      <selection activeCell="B7" sqref="B7"/>
    </sheetView>
  </sheetViews>
  <sheetFormatPr defaultRowHeight="14.45"/>
  <cols>
    <col min="1" max="1" width="22.7109375" bestFit="1" customWidth="1"/>
    <col min="2" max="2" width="23.140625" style="31" bestFit="1" customWidth="1"/>
    <col min="3" max="3" width="33.42578125" style="39" bestFit="1" customWidth="1"/>
  </cols>
  <sheetData>
    <row r="3" spans="1:3">
      <c r="A3" s="29" t="s">
        <v>32</v>
      </c>
      <c r="B3" s="31" t="s">
        <v>33</v>
      </c>
      <c r="C3"/>
    </row>
    <row r="4" spans="1:3">
      <c r="A4" s="30" t="s">
        <v>11</v>
      </c>
      <c r="B4" s="31">
        <v>31828096.800000001</v>
      </c>
      <c r="C4"/>
    </row>
    <row r="5" spans="1:3">
      <c r="A5" s="30" t="s">
        <v>20</v>
      </c>
      <c r="B5" s="31">
        <v>178762.2</v>
      </c>
      <c r="C5"/>
    </row>
    <row r="6" spans="1:3">
      <c r="A6" s="30" t="s">
        <v>29</v>
      </c>
      <c r="B6" s="31">
        <v>420480.6</v>
      </c>
      <c r="C6"/>
    </row>
    <row r="7" spans="1:3">
      <c r="A7" s="30" t="s">
        <v>15</v>
      </c>
      <c r="B7" s="31">
        <v>5365146.3</v>
      </c>
      <c r="C7"/>
    </row>
    <row r="8" spans="1:3">
      <c r="A8" s="30" t="s">
        <v>16</v>
      </c>
      <c r="B8" s="31">
        <v>4331054.6500000004</v>
      </c>
      <c r="C8"/>
    </row>
    <row r="9" spans="1:3">
      <c r="A9" s="30" t="s">
        <v>21</v>
      </c>
      <c r="B9" s="31">
        <v>16173468.100000001</v>
      </c>
      <c r="C9"/>
    </row>
    <row r="10" spans="1:3">
      <c r="A10" s="30" t="s">
        <v>18</v>
      </c>
      <c r="B10" s="31">
        <v>19623467.450000003</v>
      </c>
      <c r="C10"/>
    </row>
    <row r="11" spans="1:3">
      <c r="A11" s="30" t="s">
        <v>22</v>
      </c>
      <c r="B11" s="31">
        <v>5472765.9000000004</v>
      </c>
      <c r="C11"/>
    </row>
    <row r="12" spans="1:3">
      <c r="A12" s="30" t="s">
        <v>13</v>
      </c>
      <c r="B12" s="31">
        <v>86000114.999999985</v>
      </c>
      <c r="C12"/>
    </row>
    <row r="13" spans="1:3">
      <c r="A13" s="30" t="s">
        <v>23</v>
      </c>
      <c r="B13" s="31">
        <v>690480.75</v>
      </c>
      <c r="C13"/>
    </row>
    <row r="14" spans="1:3">
      <c r="A14" s="30" t="s">
        <v>14</v>
      </c>
      <c r="B14" s="31">
        <v>404673.7</v>
      </c>
      <c r="C14"/>
    </row>
    <row r="15" spans="1:3">
      <c r="A15" s="30" t="s">
        <v>24</v>
      </c>
      <c r="B15" s="31">
        <v>10808256.149999999</v>
      </c>
      <c r="C15"/>
    </row>
    <row r="16" spans="1:3">
      <c r="A16" s="30" t="s">
        <v>28</v>
      </c>
      <c r="B16" s="31">
        <v>310450.75</v>
      </c>
      <c r="C16"/>
    </row>
    <row r="17" spans="1:3">
      <c r="A17" s="30" t="s">
        <v>34</v>
      </c>
      <c r="B17" s="31">
        <v>181607218.34999999</v>
      </c>
      <c r="C17"/>
    </row>
    <row r="18" spans="1:3">
      <c r="B18"/>
      <c r="C18"/>
    </row>
    <row r="19" spans="1:3">
      <c r="B19"/>
      <c r="C19"/>
    </row>
    <row r="20" spans="1:3">
      <c r="B20"/>
      <c r="C20"/>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CEA2B-7BDC-405D-889F-EAEC47CD0BEF}">
  <dimension ref="A3:B15"/>
  <sheetViews>
    <sheetView workbookViewId="0">
      <selection activeCell="C21" sqref="C21"/>
    </sheetView>
  </sheetViews>
  <sheetFormatPr defaultRowHeight="14.45"/>
  <cols>
    <col min="1" max="1" width="14" bestFit="1" customWidth="1"/>
    <col min="2" max="2" width="24.42578125" style="31" bestFit="1" customWidth="1"/>
  </cols>
  <sheetData>
    <row r="3" spans="1:2">
      <c r="A3" s="29" t="s">
        <v>32</v>
      </c>
      <c r="B3" s="31" t="s">
        <v>31</v>
      </c>
    </row>
    <row r="4" spans="1:2">
      <c r="A4" s="30" t="s">
        <v>35</v>
      </c>
      <c r="B4" s="31">
        <v>17006390.5</v>
      </c>
    </row>
    <row r="5" spans="1:2">
      <c r="A5" s="30" t="s">
        <v>36</v>
      </c>
      <c r="B5" s="31">
        <v>19812124.649999999</v>
      </c>
    </row>
    <row r="6" spans="1:2">
      <c r="A6" s="30" t="s">
        <v>37</v>
      </c>
      <c r="B6" s="31">
        <v>10374403.950000001</v>
      </c>
    </row>
    <row r="7" spans="1:2">
      <c r="A7" s="30" t="s">
        <v>38</v>
      </c>
      <c r="B7" s="31">
        <v>10523383.950000001</v>
      </c>
    </row>
    <row r="8" spans="1:2">
      <c r="A8" s="30" t="s">
        <v>39</v>
      </c>
      <c r="B8" s="31">
        <v>13279593.800000001</v>
      </c>
    </row>
    <row r="9" spans="1:2">
      <c r="A9" s="30" t="s">
        <v>40</v>
      </c>
      <c r="B9" s="31">
        <v>15402193.25</v>
      </c>
    </row>
    <row r="10" spans="1:2">
      <c r="A10" s="30" t="s">
        <v>41</v>
      </c>
      <c r="B10" s="31">
        <v>8592654</v>
      </c>
    </row>
    <row r="11" spans="1:2">
      <c r="A11" s="30" t="s">
        <v>42</v>
      </c>
      <c r="B11" s="31">
        <v>25712203.550000001</v>
      </c>
    </row>
    <row r="12" spans="1:2">
      <c r="A12" s="30" t="s">
        <v>43</v>
      </c>
      <c r="B12" s="31">
        <v>1591542.25</v>
      </c>
    </row>
    <row r="13" spans="1:2">
      <c r="A13" s="30" t="s">
        <v>44</v>
      </c>
      <c r="B13" s="31">
        <v>7456081.5999999996</v>
      </c>
    </row>
    <row r="14" spans="1:2">
      <c r="A14" s="30" t="s">
        <v>45</v>
      </c>
      <c r="B14" s="31">
        <v>8027403.0999999996</v>
      </c>
    </row>
    <row r="15" spans="1:2">
      <c r="A15" s="30" t="s">
        <v>34</v>
      </c>
      <c r="B15" s="31">
        <v>137777974.59999999</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A34BD-CD3C-46C5-A13D-130E65D0E323}">
  <dimension ref="A3:B63"/>
  <sheetViews>
    <sheetView workbookViewId="0">
      <selection activeCell="A5" sqref="A5"/>
    </sheetView>
  </sheetViews>
  <sheetFormatPr defaultRowHeight="14.45"/>
  <cols>
    <col min="1" max="1" width="14" bestFit="1" customWidth="1"/>
    <col min="2" max="2" width="24.42578125" style="31" bestFit="1" customWidth="1"/>
  </cols>
  <sheetData>
    <row r="3" spans="1:2">
      <c r="A3" s="29" t="s">
        <v>32</v>
      </c>
      <c r="B3" s="31" t="s">
        <v>31</v>
      </c>
    </row>
    <row r="4" spans="1:2">
      <c r="A4" s="30" t="s">
        <v>46</v>
      </c>
      <c r="B4" s="31">
        <v>47192919.099999994</v>
      </c>
    </row>
    <row r="5" spans="1:2">
      <c r="A5" s="30" t="s">
        <v>47</v>
      </c>
      <c r="B5" s="31">
        <v>39205171.000000007</v>
      </c>
    </row>
    <row r="6" spans="1:2">
      <c r="A6" s="30" t="s">
        <v>48</v>
      </c>
      <c r="B6" s="31">
        <v>35896399.799999997</v>
      </c>
    </row>
    <row r="7" spans="1:2">
      <c r="A7" s="30" t="s">
        <v>49</v>
      </c>
      <c r="B7" s="31">
        <v>15483484.699999999</v>
      </c>
    </row>
    <row r="8" spans="1:2">
      <c r="A8" s="30" t="s">
        <v>34</v>
      </c>
      <c r="B8" s="31">
        <v>137777974.59999999</v>
      </c>
    </row>
    <row r="9" spans="1:2">
      <c r="B9"/>
    </row>
    <row r="10" spans="1:2">
      <c r="B10"/>
    </row>
    <row r="11" spans="1:2">
      <c r="B11"/>
    </row>
    <row r="12" spans="1:2">
      <c r="B12"/>
    </row>
    <row r="13" spans="1:2">
      <c r="B13"/>
    </row>
    <row r="14" spans="1:2">
      <c r="B14"/>
    </row>
    <row r="15" spans="1:2">
      <c r="B15"/>
    </row>
    <row r="16" spans="1:2">
      <c r="B16"/>
    </row>
    <row r="17" spans="2:2">
      <c r="B17"/>
    </row>
    <row r="18" spans="2:2">
      <c r="B18"/>
    </row>
    <row r="19" spans="2:2">
      <c r="B19"/>
    </row>
    <row r="20" spans="2:2">
      <c r="B20"/>
    </row>
    <row r="21" spans="2:2">
      <c r="B21"/>
    </row>
    <row r="22" spans="2:2">
      <c r="B22"/>
    </row>
    <row r="23" spans="2:2">
      <c r="B23"/>
    </row>
    <row r="24" spans="2:2">
      <c r="B24"/>
    </row>
    <row r="25" spans="2:2">
      <c r="B25"/>
    </row>
    <row r="26" spans="2:2">
      <c r="B26"/>
    </row>
    <row r="27" spans="2:2">
      <c r="B27"/>
    </row>
    <row r="28" spans="2:2">
      <c r="B28"/>
    </row>
    <row r="29" spans="2:2">
      <c r="B29"/>
    </row>
    <row r="30" spans="2:2">
      <c r="B30"/>
    </row>
    <row r="31" spans="2:2">
      <c r="B31"/>
    </row>
    <row r="32" spans="2:2">
      <c r="B32"/>
    </row>
    <row r="33" spans="2:2">
      <c r="B33"/>
    </row>
    <row r="34" spans="2:2">
      <c r="B34"/>
    </row>
    <row r="35" spans="2:2">
      <c r="B35"/>
    </row>
    <row r="36" spans="2:2">
      <c r="B36"/>
    </row>
    <row r="37" spans="2:2">
      <c r="B37"/>
    </row>
    <row r="38" spans="2:2">
      <c r="B38"/>
    </row>
    <row r="39" spans="2:2">
      <c r="B39"/>
    </row>
    <row r="40" spans="2:2">
      <c r="B40"/>
    </row>
    <row r="41" spans="2:2">
      <c r="B41"/>
    </row>
    <row r="42" spans="2:2">
      <c r="B42"/>
    </row>
    <row r="43" spans="2:2">
      <c r="B43"/>
    </row>
    <row r="44" spans="2:2">
      <c r="B44"/>
    </row>
    <row r="45" spans="2:2">
      <c r="B45"/>
    </row>
    <row r="46" spans="2:2">
      <c r="B46"/>
    </row>
    <row r="47" spans="2:2">
      <c r="B47"/>
    </row>
    <row r="48" spans="2:2">
      <c r="B48"/>
    </row>
    <row r="49" spans="2:2">
      <c r="B49"/>
    </row>
    <row r="50" spans="2:2">
      <c r="B50"/>
    </row>
    <row r="51" spans="2:2">
      <c r="B51"/>
    </row>
    <row r="52" spans="2:2">
      <c r="B52"/>
    </row>
    <row r="53" spans="2:2">
      <c r="B53"/>
    </row>
    <row r="54" spans="2:2">
      <c r="B54"/>
    </row>
    <row r="55" spans="2:2">
      <c r="B55"/>
    </row>
    <row r="56" spans="2:2">
      <c r="B56"/>
    </row>
    <row r="57" spans="2:2">
      <c r="B57"/>
    </row>
    <row r="58" spans="2:2">
      <c r="B58"/>
    </row>
    <row r="59" spans="2:2">
      <c r="B59"/>
    </row>
    <row r="60" spans="2:2">
      <c r="B60"/>
    </row>
    <row r="61" spans="2:2">
      <c r="B61"/>
    </row>
    <row r="62" spans="2:2">
      <c r="B62"/>
    </row>
    <row r="63" spans="2:2">
      <c r="B63"/>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154AC-EA85-4726-B004-DB63881A3C9F}">
  <dimension ref="A3:C15"/>
  <sheetViews>
    <sheetView topLeftCell="C1" workbookViewId="0">
      <selection activeCell="B4" sqref="B4"/>
    </sheetView>
  </sheetViews>
  <sheetFormatPr defaultRowHeight="14.45"/>
  <cols>
    <col min="1" max="1" width="14" bestFit="1" customWidth="1"/>
    <col min="2" max="2" width="23.5703125" style="31" bestFit="1" customWidth="1"/>
    <col min="3" max="3" width="29.28515625" style="31" bestFit="1" customWidth="1"/>
  </cols>
  <sheetData>
    <row r="3" spans="1:3">
      <c r="A3" s="29" t="s">
        <v>32</v>
      </c>
      <c r="B3" t="s">
        <v>31</v>
      </c>
      <c r="C3" t="s">
        <v>30</v>
      </c>
    </row>
    <row r="4" spans="1:3">
      <c r="A4" s="30" t="s">
        <v>35</v>
      </c>
      <c r="B4" s="79">
        <v>17006390.5</v>
      </c>
      <c r="C4" s="79">
        <v>0</v>
      </c>
    </row>
    <row r="5" spans="1:3">
      <c r="A5" s="30" t="s">
        <v>36</v>
      </c>
      <c r="B5" s="79">
        <v>19812124.649999999</v>
      </c>
      <c r="C5" s="79">
        <v>859000.40000000072</v>
      </c>
    </row>
    <row r="6" spans="1:3">
      <c r="A6" s="30" t="s">
        <v>37</v>
      </c>
      <c r="B6" s="79">
        <v>10374403.950000001</v>
      </c>
      <c r="C6" s="79">
        <v>22641.249999999964</v>
      </c>
    </row>
    <row r="7" spans="1:3">
      <c r="A7" s="30" t="s">
        <v>38</v>
      </c>
      <c r="B7" s="79">
        <v>10523383.950000001</v>
      </c>
      <c r="C7" s="79">
        <v>22661.249999999964</v>
      </c>
    </row>
    <row r="8" spans="1:3">
      <c r="A8" s="30" t="s">
        <v>39</v>
      </c>
      <c r="B8" s="79">
        <v>13279593.800000001</v>
      </c>
      <c r="C8" s="79">
        <v>746532</v>
      </c>
    </row>
    <row r="9" spans="1:3">
      <c r="A9" s="30" t="s">
        <v>40</v>
      </c>
      <c r="B9" s="79">
        <v>15402193.25</v>
      </c>
      <c r="C9" s="79">
        <v>35322.049999999785</v>
      </c>
    </row>
    <row r="10" spans="1:3">
      <c r="A10" s="30" t="s">
        <v>41</v>
      </c>
      <c r="B10" s="79">
        <v>8592654</v>
      </c>
      <c r="C10" s="79">
        <v>1175611.5</v>
      </c>
    </row>
    <row r="11" spans="1:3">
      <c r="A11" s="30" t="s">
        <v>42</v>
      </c>
      <c r="B11" s="79">
        <v>25712203.550000001</v>
      </c>
      <c r="C11" s="79">
        <v>10471542.550000001</v>
      </c>
    </row>
    <row r="12" spans="1:3">
      <c r="A12" s="30" t="s">
        <v>43</v>
      </c>
      <c r="B12" s="79">
        <v>1591542.25</v>
      </c>
      <c r="C12" s="79">
        <v>4418402.5</v>
      </c>
    </row>
    <row r="13" spans="1:3">
      <c r="A13" s="30" t="s">
        <v>44</v>
      </c>
      <c r="B13" s="79">
        <v>7456081.5999999996</v>
      </c>
      <c r="C13" s="79">
        <v>12365105.6</v>
      </c>
    </row>
    <row r="14" spans="1:3">
      <c r="A14" s="30" t="s">
        <v>45</v>
      </c>
      <c r="B14" s="79">
        <v>8027403.0999999996</v>
      </c>
      <c r="C14" s="79">
        <v>13712424.649999999</v>
      </c>
    </row>
    <row r="15" spans="1:3">
      <c r="A15" s="30" t="s">
        <v>34</v>
      </c>
      <c r="B15" s="31">
        <v>137777974.59999999</v>
      </c>
      <c r="C15" s="31">
        <v>43829243.75</v>
      </c>
    </row>
  </sheetData>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11E07-2EBE-460B-98CC-5623D15CF83B}">
  <dimension ref="A3:C189"/>
  <sheetViews>
    <sheetView topLeftCell="B1" zoomScale="75" workbookViewId="0">
      <selection activeCell="A3" sqref="A3"/>
    </sheetView>
  </sheetViews>
  <sheetFormatPr defaultRowHeight="14.45"/>
  <cols>
    <col min="1" max="1" width="14" bestFit="1" customWidth="1"/>
    <col min="2" max="2" width="23.5703125" style="31" bestFit="1" customWidth="1"/>
    <col min="3" max="3" width="29.28515625" style="31" bestFit="1" customWidth="1"/>
  </cols>
  <sheetData>
    <row r="3" spans="1:3">
      <c r="A3" s="29" t="s">
        <v>32</v>
      </c>
      <c r="B3" t="s">
        <v>31</v>
      </c>
      <c r="C3" t="s">
        <v>30</v>
      </c>
    </row>
    <row r="4" spans="1:3">
      <c r="A4" s="30" t="s">
        <v>46</v>
      </c>
      <c r="B4" s="79">
        <v>47192919.099999994</v>
      </c>
      <c r="C4" s="79">
        <v>881641.65000000061</v>
      </c>
    </row>
    <row r="5" spans="1:3">
      <c r="A5" s="30" t="s">
        <v>47</v>
      </c>
      <c r="B5" s="79">
        <v>39205171.000000007</v>
      </c>
      <c r="C5" s="79">
        <v>804515.29999999981</v>
      </c>
    </row>
    <row r="6" spans="1:3">
      <c r="A6" s="30" t="s">
        <v>48</v>
      </c>
      <c r="B6" s="79">
        <v>35896399.799999997</v>
      </c>
      <c r="C6" s="79">
        <v>16065556.550000001</v>
      </c>
    </row>
    <row r="7" spans="1:3">
      <c r="A7" s="30" t="s">
        <v>49</v>
      </c>
      <c r="B7" s="79">
        <v>15483484.699999999</v>
      </c>
      <c r="C7" s="79">
        <v>26077530.250000004</v>
      </c>
    </row>
    <row r="8" spans="1:3">
      <c r="A8" s="30" t="s">
        <v>34</v>
      </c>
      <c r="B8" s="31">
        <v>137777974.59999999</v>
      </c>
      <c r="C8" s="31">
        <v>43829243.75</v>
      </c>
    </row>
    <row r="9" spans="1:3">
      <c r="B9"/>
      <c r="C9"/>
    </row>
    <row r="10" spans="1:3">
      <c r="B10"/>
      <c r="C10"/>
    </row>
    <row r="11" spans="1:3">
      <c r="B11"/>
      <c r="C11"/>
    </row>
    <row r="12" spans="1:3">
      <c r="B12"/>
      <c r="C12"/>
    </row>
    <row r="13" spans="1:3">
      <c r="B13"/>
      <c r="C13"/>
    </row>
    <row r="14" spans="1:3">
      <c r="B14"/>
      <c r="C14"/>
    </row>
    <row r="15" spans="1:3">
      <c r="B15"/>
      <c r="C15"/>
    </row>
    <row r="16" spans="1:3">
      <c r="B16"/>
      <c r="C16"/>
    </row>
    <row r="17" spans="2:3">
      <c r="B17"/>
      <c r="C17"/>
    </row>
    <row r="18" spans="2:3">
      <c r="B18"/>
      <c r="C18"/>
    </row>
    <row r="19" spans="2:3">
      <c r="B19"/>
      <c r="C19"/>
    </row>
    <row r="20" spans="2:3">
      <c r="B20"/>
      <c r="C20"/>
    </row>
    <row r="21" spans="2:3">
      <c r="B21"/>
      <c r="C21"/>
    </row>
    <row r="22" spans="2:3">
      <c r="B22"/>
      <c r="C22"/>
    </row>
    <row r="23" spans="2:3">
      <c r="B23"/>
      <c r="C23"/>
    </row>
    <row r="24" spans="2:3">
      <c r="B24"/>
      <c r="C24"/>
    </row>
    <row r="25" spans="2:3">
      <c r="B25"/>
      <c r="C25"/>
    </row>
    <row r="26" spans="2:3">
      <c r="B26"/>
      <c r="C26"/>
    </row>
    <row r="27" spans="2:3">
      <c r="B27"/>
      <c r="C27"/>
    </row>
    <row r="28" spans="2:3">
      <c r="B28"/>
      <c r="C28"/>
    </row>
    <row r="29" spans="2:3">
      <c r="B29"/>
      <c r="C29"/>
    </row>
    <row r="30" spans="2:3">
      <c r="B30"/>
      <c r="C30"/>
    </row>
    <row r="31" spans="2:3">
      <c r="B31"/>
      <c r="C31"/>
    </row>
    <row r="32" spans="2:3">
      <c r="B32"/>
      <c r="C32"/>
    </row>
    <row r="33" spans="2:3">
      <c r="B33"/>
      <c r="C33"/>
    </row>
    <row r="34" spans="2:3">
      <c r="B34"/>
      <c r="C34"/>
    </row>
    <row r="35" spans="2:3">
      <c r="B35"/>
      <c r="C35"/>
    </row>
    <row r="36" spans="2:3">
      <c r="B36"/>
      <c r="C36"/>
    </row>
    <row r="37" spans="2:3">
      <c r="B37"/>
      <c r="C37"/>
    </row>
    <row r="38" spans="2:3">
      <c r="B38"/>
      <c r="C38"/>
    </row>
    <row r="39" spans="2:3">
      <c r="B39"/>
      <c r="C39"/>
    </row>
    <row r="40" spans="2:3">
      <c r="B40"/>
      <c r="C40"/>
    </row>
    <row r="41" spans="2:3">
      <c r="B41"/>
      <c r="C41"/>
    </row>
    <row r="42" spans="2:3">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2EF42-F8BC-478F-8C02-10E8BE2C9197}">
  <dimension ref="A3:D18"/>
  <sheetViews>
    <sheetView topLeftCell="F1" workbookViewId="0">
      <selection activeCell="A4" sqref="A4"/>
    </sheetView>
  </sheetViews>
  <sheetFormatPr defaultRowHeight="14.45"/>
  <cols>
    <col min="1" max="1" width="19.7109375" bestFit="1" customWidth="1"/>
    <col min="2" max="2" width="18" style="31" bestFit="1" customWidth="1"/>
    <col min="3" max="3" width="16.7109375" style="31" bestFit="1" customWidth="1"/>
    <col min="4" max="4" width="17.42578125" style="35" bestFit="1" customWidth="1"/>
    <col min="6" max="6" width="6.28515625" customWidth="1"/>
    <col min="7" max="7" width="8.85546875" customWidth="1"/>
    <col min="13" max="13" width="11.140625" customWidth="1"/>
  </cols>
  <sheetData>
    <row r="3" spans="1:4">
      <c r="A3" s="70" t="s">
        <v>32</v>
      </c>
      <c r="B3" s="72" t="s">
        <v>50</v>
      </c>
      <c r="C3" s="68" t="s">
        <v>30</v>
      </c>
      <c r="D3" s="68" t="s">
        <v>31</v>
      </c>
    </row>
    <row r="4" spans="1:4">
      <c r="A4" s="71" t="s">
        <v>11</v>
      </c>
      <c r="B4" s="72" t="e">
        <v>#NAME?</v>
      </c>
      <c r="C4" s="80">
        <v>14063213.699999999</v>
      </c>
      <c r="D4" s="80">
        <v>17764883.100000001</v>
      </c>
    </row>
    <row r="5" spans="1:4">
      <c r="A5" s="71" t="s">
        <v>20</v>
      </c>
      <c r="B5" s="72" t="e">
        <v>#NAME?</v>
      </c>
      <c r="C5" s="80">
        <v>25480.6</v>
      </c>
      <c r="D5" s="80">
        <v>153281.60000000001</v>
      </c>
    </row>
    <row r="6" spans="1:4">
      <c r="A6" s="71" t="s">
        <v>29</v>
      </c>
      <c r="B6" s="72" t="e">
        <v>#NAME?</v>
      </c>
      <c r="C6" s="80">
        <v>95000.099999999977</v>
      </c>
      <c r="D6" s="80">
        <v>325480.5</v>
      </c>
    </row>
    <row r="7" spans="1:4">
      <c r="A7" s="71" t="s">
        <v>15</v>
      </c>
      <c r="B7" s="72" t="e">
        <v>#NAME?</v>
      </c>
      <c r="C7" s="80">
        <v>3629984.2</v>
      </c>
      <c r="D7" s="80">
        <v>1735162.0999999996</v>
      </c>
    </row>
    <row r="8" spans="1:4">
      <c r="A8" s="71" t="s">
        <v>16</v>
      </c>
      <c r="B8" s="72" t="e">
        <v>#NAME?</v>
      </c>
      <c r="C8" s="80">
        <v>3339533.9499999997</v>
      </c>
      <c r="D8" s="80">
        <v>991520.7</v>
      </c>
    </row>
    <row r="9" spans="1:4">
      <c r="A9" s="71" t="s">
        <v>21</v>
      </c>
      <c r="B9" s="72" t="e">
        <v>#NAME?</v>
      </c>
      <c r="C9" s="80">
        <v>3871633.25</v>
      </c>
      <c r="D9" s="80">
        <v>12301834.850000001</v>
      </c>
    </row>
    <row r="10" spans="1:4">
      <c r="A10" s="71" t="s">
        <v>18</v>
      </c>
      <c r="B10" s="72" t="e">
        <v>#NAME?</v>
      </c>
      <c r="C10" s="80">
        <v>8499283.5</v>
      </c>
      <c r="D10" s="80">
        <v>11124183.950000001</v>
      </c>
    </row>
    <row r="11" spans="1:4">
      <c r="A11" s="71" t="s">
        <v>22</v>
      </c>
      <c r="B11" s="72" t="e">
        <v>#NAME?</v>
      </c>
      <c r="C11" s="80">
        <v>142241.24999999988</v>
      </c>
      <c r="D11" s="80">
        <v>5330524.6500000004</v>
      </c>
    </row>
    <row r="12" spans="1:4">
      <c r="A12" s="71" t="s">
        <v>13</v>
      </c>
      <c r="B12" s="72" t="e">
        <v>#NAME?</v>
      </c>
      <c r="C12" s="80">
        <v>4970130.0999999996</v>
      </c>
      <c r="D12" s="80">
        <v>81029984.900000006</v>
      </c>
    </row>
    <row r="13" spans="1:4">
      <c r="A13" s="71" t="s">
        <v>23</v>
      </c>
      <c r="B13" s="72" t="e">
        <v>#NAME?</v>
      </c>
      <c r="C13" s="80">
        <v>565000.15</v>
      </c>
      <c r="D13" s="80">
        <v>125480.6</v>
      </c>
    </row>
    <row r="14" spans="1:4">
      <c r="A14" s="71" t="s">
        <v>14</v>
      </c>
      <c r="B14" s="72" t="e">
        <v>#NAME?</v>
      </c>
      <c r="C14" s="80">
        <v>30930.75</v>
      </c>
      <c r="D14" s="80">
        <v>373742.95</v>
      </c>
    </row>
    <row r="15" spans="1:4">
      <c r="A15" s="71" t="s">
        <v>24</v>
      </c>
      <c r="B15" s="72" t="e">
        <v>#NAME?</v>
      </c>
      <c r="C15" s="80">
        <v>4581682.05</v>
      </c>
      <c r="D15" s="80">
        <v>6226574.1000000006</v>
      </c>
    </row>
    <row r="16" spans="1:4">
      <c r="A16" s="71" t="s">
        <v>28</v>
      </c>
      <c r="B16" s="72" t="e">
        <v>#NAME?</v>
      </c>
      <c r="C16" s="80">
        <v>15130.150000000023</v>
      </c>
      <c r="D16" s="80">
        <v>295320.59999999998</v>
      </c>
    </row>
    <row r="17" spans="1:4">
      <c r="A17" s="71" t="s">
        <v>34</v>
      </c>
      <c r="B17" s="72" t="e">
        <v>#NAME?</v>
      </c>
      <c r="C17" s="33">
        <v>43829243.749999993</v>
      </c>
      <c r="D17" s="33">
        <v>137777974.59999999</v>
      </c>
    </row>
    <row r="18" spans="1:4">
      <c r="B18"/>
      <c r="C18"/>
      <c r="D18"/>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AA67E-5F3E-492D-B24E-05FCB962939D}">
  <dimension ref="A3:B17"/>
  <sheetViews>
    <sheetView workbookViewId="0">
      <selection activeCell="C2" sqref="C2"/>
    </sheetView>
  </sheetViews>
  <sheetFormatPr defaultRowHeight="14.45"/>
  <cols>
    <col min="1" max="2" width="25.28515625" bestFit="1" customWidth="1"/>
    <col min="3" max="3" width="14.7109375" bestFit="1" customWidth="1"/>
  </cols>
  <sheetData>
    <row r="3" spans="1:2">
      <c r="A3" s="29" t="s">
        <v>32</v>
      </c>
      <c r="B3" t="s">
        <v>51</v>
      </c>
    </row>
    <row r="4" spans="1:2">
      <c r="A4" s="30" t="s">
        <v>11</v>
      </c>
      <c r="B4" s="79">
        <v>493</v>
      </c>
    </row>
    <row r="5" spans="1:2">
      <c r="A5" s="30" t="s">
        <v>20</v>
      </c>
      <c r="B5" s="79">
        <v>9</v>
      </c>
    </row>
    <row r="6" spans="1:2">
      <c r="A6" s="30" t="s">
        <v>29</v>
      </c>
      <c r="B6" s="79">
        <v>15</v>
      </c>
    </row>
    <row r="7" spans="1:2">
      <c r="A7" s="30" t="s">
        <v>15</v>
      </c>
      <c r="B7" s="79">
        <v>313</v>
      </c>
    </row>
    <row r="8" spans="1:2">
      <c r="A8" s="30" t="s">
        <v>16</v>
      </c>
      <c r="B8" s="79">
        <v>183</v>
      </c>
    </row>
    <row r="9" spans="1:2">
      <c r="A9" s="30" t="s">
        <v>21</v>
      </c>
      <c r="B9" s="79">
        <v>1151</v>
      </c>
    </row>
    <row r="10" spans="1:2">
      <c r="A10" s="30" t="s">
        <v>18</v>
      </c>
      <c r="B10" s="79">
        <v>578</v>
      </c>
    </row>
    <row r="11" spans="1:2">
      <c r="A11" s="30" t="s">
        <v>22</v>
      </c>
      <c r="B11" s="79">
        <v>147</v>
      </c>
    </row>
    <row r="12" spans="1:2">
      <c r="A12" s="30" t="s">
        <v>13</v>
      </c>
      <c r="B12" s="79">
        <v>48</v>
      </c>
    </row>
    <row r="13" spans="1:2">
      <c r="A13" s="30" t="s">
        <v>23</v>
      </c>
      <c r="B13" s="79">
        <v>0</v>
      </c>
    </row>
    <row r="14" spans="1:2">
      <c r="A14" s="30" t="s">
        <v>14</v>
      </c>
      <c r="B14" s="79">
        <v>36</v>
      </c>
    </row>
    <row r="15" spans="1:2">
      <c r="A15" s="30" t="s">
        <v>24</v>
      </c>
      <c r="B15" s="79">
        <v>179</v>
      </c>
    </row>
    <row r="16" spans="1:2">
      <c r="A16" s="30" t="s">
        <v>28</v>
      </c>
      <c r="B16" s="79">
        <v>12</v>
      </c>
    </row>
    <row r="17" spans="1:2">
      <c r="A17" s="30" t="s">
        <v>34</v>
      </c>
      <c r="B17" s="69">
        <v>3164</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Donald Andrew</dc:creator>
  <cp:keywords/>
  <dc:description/>
  <cp:lastModifiedBy/>
  <cp:revision/>
  <dcterms:created xsi:type="dcterms:W3CDTF">2025-04-03T21:29:28Z</dcterms:created>
  <dcterms:modified xsi:type="dcterms:W3CDTF">2025-12-28T19:02:57Z</dcterms:modified>
  <cp:category/>
  <cp:contentStatus/>
</cp:coreProperties>
</file>